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ikae\Desktop\Github - speciale\Larsen-2025-Masterthesis-DFCs\Field-trails\2025-10-14-inital-lab-acidification\"/>
    </mc:Choice>
  </mc:AlternateContent>
  <xr:revisionPtr revIDLastSave="0" documentId="13_ncr:1_{A4EDC234-CA16-4D7B-8FAE-3D343BDEA0C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fo" sheetId="1" r:id="rId1"/>
    <sheet name="Data overview" sheetId="4" r:id="rId2"/>
    <sheet name="Raw Dat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4" l="1"/>
  <c r="AE4" i="3"/>
  <c r="H2" i="4" l="1"/>
  <c r="D2" i="4"/>
  <c r="N4" i="3"/>
  <c r="E2" i="4" s="1"/>
  <c r="M4" i="3"/>
  <c r="B18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9" i="4"/>
  <c r="B20" i="4"/>
  <c r="B21" i="4"/>
  <c r="B22" i="4"/>
  <c r="B23" i="4"/>
  <c r="B24" i="4"/>
  <c r="B25" i="4"/>
  <c r="B26" i="4"/>
  <c r="B27" i="4"/>
  <c r="B2" i="4"/>
  <c r="A26" i="4"/>
  <c r="A27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3" i="4"/>
  <c r="A4" i="4"/>
  <c r="A5" i="4"/>
  <c r="A6" i="4"/>
  <c r="A7" i="4"/>
  <c r="A8" i="4"/>
  <c r="A9" i="4"/>
  <c r="A2" i="4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4" i="3"/>
  <c r="E3" i="3" l="1"/>
  <c r="AO5" i="3"/>
  <c r="AO6" i="3"/>
  <c r="AO7" i="3"/>
  <c r="AO8" i="3"/>
  <c r="AO9" i="3"/>
  <c r="AO10" i="3"/>
  <c r="AO11" i="3"/>
  <c r="AO12" i="3"/>
  <c r="AO13" i="3"/>
  <c r="AO14" i="3"/>
  <c r="AO15" i="3"/>
  <c r="AO16" i="3"/>
  <c r="AO17" i="3"/>
  <c r="AO18" i="3"/>
  <c r="AO19" i="3"/>
  <c r="AO20" i="3"/>
  <c r="AO21" i="3"/>
  <c r="AO22" i="3"/>
  <c r="AO23" i="3"/>
  <c r="AO24" i="3"/>
  <c r="AO25" i="3"/>
  <c r="AO26" i="3"/>
  <c r="AO27" i="3"/>
  <c r="AO28" i="3"/>
  <c r="AO29" i="3"/>
  <c r="AO4" i="3"/>
  <c r="AN5" i="3"/>
  <c r="AN6" i="3"/>
  <c r="AN7" i="3"/>
  <c r="AN8" i="3"/>
  <c r="AN9" i="3"/>
  <c r="AN10" i="3"/>
  <c r="AN11" i="3"/>
  <c r="AN12" i="3"/>
  <c r="AN13" i="3"/>
  <c r="AN14" i="3"/>
  <c r="AN15" i="3"/>
  <c r="AN16" i="3"/>
  <c r="AN17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N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V18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4" i="3"/>
  <c r="V26" i="3"/>
  <c r="V27" i="3"/>
  <c r="V28" i="3"/>
  <c r="V29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9" i="3"/>
  <c r="V20" i="3"/>
  <c r="V21" i="3"/>
  <c r="V22" i="3"/>
  <c r="V23" i="3"/>
  <c r="V24" i="3"/>
  <c r="V25" i="3"/>
  <c r="V4" i="3"/>
  <c r="M22" i="3"/>
  <c r="N17" i="3"/>
  <c r="N18" i="3"/>
  <c r="N19" i="3"/>
  <c r="N20" i="3"/>
  <c r="N10" i="3"/>
  <c r="N11" i="3"/>
  <c r="N12" i="3"/>
  <c r="N13" i="3"/>
  <c r="N14" i="3"/>
  <c r="N15" i="3"/>
  <c r="N16" i="3"/>
  <c r="N5" i="3"/>
  <c r="N6" i="3"/>
  <c r="N7" i="3"/>
  <c r="N8" i="3"/>
  <c r="N9" i="3"/>
  <c r="M23" i="3"/>
  <c r="M24" i="3"/>
  <c r="M25" i="3"/>
  <c r="M26" i="3"/>
  <c r="M27" i="3"/>
  <c r="M28" i="3"/>
  <c r="M29" i="3"/>
  <c r="M21" i="3"/>
  <c r="M19" i="3"/>
  <c r="M20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Mikael Løvig Larsen</author>
    <author>tc={F3CFEE7A-00D7-4F3C-8D08-1752B5011603}</author>
    <author>tc={09E2FF11-9B74-4EBD-A683-0385778A3272}</author>
    <author>tc={27957E8B-8195-44DE-B4CD-8BF70F6B5CA9}</author>
    <author>tc={A9092ED7-2410-4487-BAEA-5956E5D41D2D}</author>
    <author>tc={34E4229A-DA43-48A2-B5D1-B4EBFD4B68CE}</author>
    <author>tc={F232DE48-B70F-4E07-A296-8786493B4A7D}</author>
    <author>tc={0337EAA9-EB99-427D-9F46-BE8918AA13BB}</author>
    <author>tc={E994225E-692D-4357-8BA7-2520F2B8766E}</author>
    <author>tc={08EDB08D-2813-49CB-8EF8-FFF83EB91709}</author>
    <author>tc={EF10B70A-5EAC-44B1-8F42-A458D1042FC7}</author>
  </authors>
  <commentList>
    <comment ref="D4" authorId="0" shapeId="0" xr:uid="{6520A657-9E1D-4579-9BF6-D4803A12915D}">
      <text>
        <r>
          <rPr>
            <b/>
            <sz val="9"/>
            <color indexed="81"/>
            <rFont val="Tahoma"/>
            <family val="2"/>
          </rPr>
          <t>Mikael Løvig Larsen:</t>
        </r>
        <r>
          <rPr>
            <sz val="9"/>
            <color indexed="81"/>
            <rFont val="Tahoma"/>
            <family val="2"/>
          </rPr>
          <t xml:space="preserve">
https://wissen.science-and-fun.de/chemistry/chemistry/density-tables/density-of-sulfuric-acid-and-sulfur-trioxide/
</t>
        </r>
      </text>
    </comment>
    <comment ref="J10" authorId="1" shapeId="0" xr:uid="{F3CFEE7A-00D7-4F3C-8D08-1752B5011603}">
      <text>
        <t>[Threaded comment]
Your version of Excel allows you to read this threaded comment; however, any edits to it will get removed if the file is opened in a newer version of Excel. Learn more: https://go.microsoft.com/fwlink/?linkid=870924
Comment:
    Visualy the mixing became non-ideal - due to a change in viscosity? Magnet exchanged for a larger one which seemed to fix the problem</t>
      </text>
    </comment>
    <comment ref="L10" authorId="2" shapeId="0" xr:uid="{09E2FF11-9B74-4EBD-A683-0385778A3272}">
      <text>
        <t>[Threaded comment]
Your version of Excel allows you to read this threaded comment; however, any edits to it will get removed if the file is opened in a newer version of Excel. Learn more: https://go.microsoft.com/fwlink/?linkid=870924
Comment:
    Foaming started</t>
      </text>
    </comment>
    <comment ref="L13" authorId="3" shapeId="0" xr:uid="{27957E8B-8195-44DE-B4CD-8BF70F6B5CA9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Experiment temporarily stopped due to timer losing power</t>
      </text>
    </comment>
    <comment ref="L14" authorId="4" shapeId="0" xr:uid="{A9092ED7-2410-4487-BAEA-5956E5D41D2D}">
      <text>
        <t>[Threaded comment]
Your version of Excel allows you to read this threaded comment; however, any edits to it will get removed if the file is opened in a newer version of Excel. Learn more: https://go.microsoft.com/fwlink/?linkid=870924
Comment:
    Magnet had to be restarted</t>
      </text>
    </comment>
    <comment ref="AB14" authorId="5" shapeId="0" xr:uid="{34E4229A-DA43-48A2-B5D1-B4EBFD4B68CE}">
      <text>
        <t>[Threaded comment]
Your version of Excel allows you to read this threaded comment; however, any edits to it will get removed if the file is opened in a newer version of Excel. Learn more: https://go.microsoft.com/fwlink/?linkid=870924
Comment:
    pH meter shut off due to inactivity</t>
      </text>
    </comment>
    <comment ref="J16" authorId="6" shapeId="0" xr:uid="{F232DE48-B70F-4E07-A296-8786493B4A7D}">
      <text>
        <t>[Threaded comment]
Your version of Excel allows you to read this threaded comment; however, any edits to it will get removed if the file is opened in a newer version of Excel. Learn more: https://go.microsoft.com/fwlink/?linkid=870924
Comment:
    Foam started to disappear</t>
      </text>
    </comment>
    <comment ref="J20" authorId="7" shapeId="0" xr:uid="{0337EAA9-EB99-427D-9F46-BE8918AA13B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foam, due to better mixing?</t>
      </text>
    </comment>
    <comment ref="H21" authorId="8" shapeId="0" xr:uid="{E994225E-692D-4357-8BA7-2520F2B8766E}">
      <text>
        <t>[Threaded comment]
Your version of Excel allows you to read this threaded comment; however, any edits to it will get removed if the file is opened in a newer version of Excel. Learn more: https://go.microsoft.com/fwlink/?linkid=870924
Comment:
    Too much foam, experiment stopped, last measurement might not be accurate</t>
      </text>
    </comment>
    <comment ref="L21" authorId="9" shapeId="0" xr:uid="{08EDB08D-2813-49CB-8EF8-FFF83EB91709}">
      <text>
        <t>[Threaded comment]
Your version of Excel allows you to read this threaded comment; however, any edits to it will get removed if the file is opened in a newer version of Excel. Learn more: https://go.microsoft.com/fwlink/?linkid=870924
Comment:
    Foam disappears</t>
      </text>
    </comment>
    <comment ref="J23" authorId="10" shapeId="0" xr:uid="{EF10B70A-5EAC-44B1-8F42-A458D1042FC7}">
      <text>
        <t>[Threaded comment]
Your version of Excel allows you to read this threaded comment; however, any edits to it will get removed if the file is opened in a newer version of Excel. Learn more: https://go.microsoft.com/fwlink/?linkid=870924
Comment:
    Magnet had to be restarted</t>
      </text>
    </comment>
  </commentList>
</comments>
</file>

<file path=xl/sharedStrings.xml><?xml version="1.0" encoding="utf-8"?>
<sst xmlns="http://schemas.openxmlformats.org/spreadsheetml/2006/main" count="80" uniqueCount="39">
  <si>
    <t>Date</t>
  </si>
  <si>
    <t>Info</t>
  </si>
  <si>
    <t>Triplicates of cattle and pig slurry with acetic acid and H2SO4 (12 in total)</t>
  </si>
  <si>
    <t>Encountered issues with foam formation in cattle slurry, one sample was stopped prematurely</t>
  </si>
  <si>
    <t>Use larger beakers, as this reduces foaming issues</t>
  </si>
  <si>
    <t>AA = Acetic acid</t>
  </si>
  <si>
    <t>Starting pH larger than last time? Check this</t>
  </si>
  <si>
    <t>V (acid) [mL]</t>
  </si>
  <si>
    <t>V(acid) / m(slurry) [L/ton]</t>
  </si>
  <si>
    <t>m(H2SO4) / m(slurry) [kg/ton]</t>
  </si>
  <si>
    <t>pH Cattle H2SO4 (mean)</t>
  </si>
  <si>
    <t>stdev pH H2SO4 cattle</t>
  </si>
  <si>
    <t>pH cattle AA (mean)</t>
  </si>
  <si>
    <t>pH stdev Cattle AA</t>
  </si>
  <si>
    <t>pH pig H2SO4 (mean)</t>
  </si>
  <si>
    <t>pH stdev pig H2SO4</t>
  </si>
  <si>
    <t>pH pig AA (mean)</t>
  </si>
  <si>
    <t>pH stdev pig AA</t>
  </si>
  <si>
    <t>Cattle H2SO4</t>
  </si>
  <si>
    <t>Cattle AA</t>
  </si>
  <si>
    <t>Pig H2SO4</t>
  </si>
  <si>
    <t xml:space="preserve">Pig AA </t>
  </si>
  <si>
    <t>Constants</t>
  </si>
  <si>
    <t>A</t>
  </si>
  <si>
    <t>B</t>
  </si>
  <si>
    <t>C</t>
  </si>
  <si>
    <t>Mean</t>
  </si>
  <si>
    <t>stddev</t>
  </si>
  <si>
    <t>Stdev</t>
  </si>
  <si>
    <t>Sdev</t>
  </si>
  <si>
    <t>stdev</t>
  </si>
  <si>
    <t>V(acid) [mL]</t>
  </si>
  <si>
    <t>v(acid) / m(slurry) [L/ton]</t>
  </si>
  <si>
    <t>m(slurry) [ton]</t>
  </si>
  <si>
    <t>pH</t>
  </si>
  <si>
    <t>comment</t>
  </si>
  <si>
    <t>Comment</t>
  </si>
  <si>
    <t xml:space="preserve">pH </t>
  </si>
  <si>
    <r>
      <rPr>
        <sz val="11"/>
        <color theme="1"/>
        <rFont val="Aptos Narrow"/>
        <family val="2"/>
      </rPr>
      <t>ρ(96 wt% H2SO4, T = 20</t>
    </r>
    <r>
      <rPr>
        <sz val="11"/>
        <color theme="1"/>
        <rFont val="Calibri"/>
        <family val="2"/>
        <scheme val="minor"/>
      </rPr>
      <t xml:space="preserve"> degc) [g/mL]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</si>
</sst>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Aptos Narrow"/>
      <family val="2"/>
    </font>
    <font>
      <sz val="10"/>
      <color rgb="FF4A474B"/>
      <name val="Arial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4" fillId="0" borderId="0" xfId="0" applyNumberFormat="1" applyFont="1"/>
    <xf numFmtId="164" fontId="0" fillId="2" borderId="0" xfId="0" applyNumberFormat="1" applyFill="1"/>
    <xf numFmtId="2" fontId="0" fillId="2" borderId="0" xfId="0" applyNumberFormat="1" applyFill="1"/>
    <xf numFmtId="0" fontId="0" fillId="2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ael Løvig Larsen" id="{6E0EC28F-ECCE-47C0-933D-E31B63F7E77B}" userId="S::au705323@uni.au.dk::501b5c6e-34b9-41fc-bcf2-dc0650cde63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0" dT="2025-10-15T11:03:33.58" personId="{6E0EC28F-ECCE-47C0-933D-E31B63F7E77B}" id="{F3CFEE7A-00D7-4F3C-8D08-1752B5011603}">
    <text>Visualy the mixing became non-ideal - due to a change in viscosity? Magnet exchanged for a larger one which seemed to fix the problem</text>
  </threadedComment>
  <threadedComment ref="L10" dT="2025-10-15T11:10:29.57" personId="{6E0EC28F-ECCE-47C0-933D-E31B63F7E77B}" id="{09E2FF11-9B74-4EBD-A683-0385778A3272}">
    <text>Foaming started</text>
  </threadedComment>
  <threadedComment ref="L13" dT="2025-10-15T11:11:22.38" personId="{6E0EC28F-ECCE-47C0-933D-E31B63F7E77B}" id="{27957E8B-8195-44DE-B4CD-8BF70F6B5CA9}">
    <text>Experiment temporarily stopped due to timer losing power</text>
  </threadedComment>
  <threadedComment ref="L14" dT="2025-10-15T11:12:03.45" personId="{6E0EC28F-ECCE-47C0-933D-E31B63F7E77B}" id="{A9092ED7-2410-4487-BAEA-5956E5D41D2D}">
    <text>Magnet had to be restarted</text>
  </threadedComment>
  <threadedComment ref="AB14" dT="2025-10-16T13:24:40.73" personId="{6E0EC28F-ECCE-47C0-933D-E31B63F7E77B}" id="{34E4229A-DA43-48A2-B5D1-B4EBFD4B68CE}">
    <text>pH meter shut off due to inactivity</text>
  </threadedComment>
  <threadedComment ref="J16" dT="2025-10-15T11:05:22.52" personId="{6E0EC28F-ECCE-47C0-933D-E31B63F7E77B}" id="{F232DE48-B70F-4E07-A296-8786493B4A7D}">
    <text>Foam started to disappear</text>
  </threadedComment>
  <threadedComment ref="J20" dT="2025-10-15T11:06:45.31" personId="{6E0EC28F-ECCE-47C0-933D-E31B63F7E77B}" id="{0337EAA9-EB99-427D-9F46-BE8918AA13BB}">
    <text>No foam, due to better mixing?</text>
  </threadedComment>
  <threadedComment ref="H21" dT="2025-10-15T11:00:24.86" personId="{6E0EC28F-ECCE-47C0-933D-E31B63F7E77B}" id="{E994225E-692D-4357-8BA7-2520F2B8766E}">
    <text>Too much foam, experiment stopped, last measurement might not be accurate</text>
  </threadedComment>
  <threadedComment ref="L21" dT="2025-10-15T11:13:26.20" personId="{6E0EC28F-ECCE-47C0-933D-E31B63F7E77B}" id="{08EDB08D-2813-49CB-8EF8-FFF83EB91709}">
    <text>Foam disappears</text>
  </threadedComment>
  <threadedComment ref="J23" dT="2025-10-15T11:07:59.83" personId="{6E0EC28F-ECCE-47C0-933D-E31B63F7E77B}" id="{EF10B70A-5EAC-44B1-8F42-A458D1042FC7}">
    <text>Magnet had to be restarted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E12" sqref="E12"/>
    </sheetView>
  </sheetViews>
  <sheetFormatPr defaultRowHeight="14.4" x14ac:dyDescent="0.3"/>
  <cols>
    <col min="2" max="2" width="10.33203125" bestFit="1" customWidth="1"/>
  </cols>
  <sheetData>
    <row r="1" spans="1:2" x14ac:dyDescent="0.3">
      <c r="A1" s="1" t="s">
        <v>0</v>
      </c>
      <c r="B1" s="2">
        <v>45944</v>
      </c>
    </row>
    <row r="3" spans="1:2" x14ac:dyDescent="0.3">
      <c r="A3" s="1" t="s">
        <v>1</v>
      </c>
      <c r="B3" t="s">
        <v>2</v>
      </c>
    </row>
    <row r="4" spans="1:2" x14ac:dyDescent="0.3">
      <c r="B4" t="s">
        <v>3</v>
      </c>
    </row>
    <row r="5" spans="1:2" x14ac:dyDescent="0.3">
      <c r="B5" t="s">
        <v>4</v>
      </c>
    </row>
    <row r="6" spans="1:2" x14ac:dyDescent="0.3">
      <c r="B6" t="s">
        <v>5</v>
      </c>
    </row>
    <row r="8" spans="1:2" x14ac:dyDescent="0.3">
      <c r="B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EDBE6-9D8F-47C1-ACC2-0D831A60BD68}">
  <dimension ref="A1:K27"/>
  <sheetViews>
    <sheetView tabSelected="1" workbookViewId="0">
      <selection activeCell="B11" sqref="B11"/>
    </sheetView>
  </sheetViews>
  <sheetFormatPr defaultRowHeight="14.4" x14ac:dyDescent="0.3"/>
  <cols>
    <col min="1" max="1" width="11.33203125" bestFit="1" customWidth="1"/>
    <col min="2" max="2" width="21.88671875" bestFit="1" customWidth="1"/>
    <col min="3" max="3" width="25.44140625" bestFit="1" customWidth="1"/>
    <col min="4" max="4" width="22.88671875" bestFit="1" customWidth="1"/>
    <col min="5" max="5" width="19.33203125" bestFit="1" customWidth="1"/>
    <col min="6" max="6" width="19" bestFit="1" customWidth="1"/>
    <col min="7" max="7" width="17.6640625" bestFit="1" customWidth="1"/>
    <col min="8" max="8" width="20.109375" bestFit="1" customWidth="1"/>
    <col min="9" max="9" width="18.5546875" bestFit="1" customWidth="1"/>
    <col min="10" max="10" width="16.5546875" bestFit="1" customWidth="1"/>
    <col min="11" max="11" width="13.5546875" bestFit="1" customWidth="1"/>
  </cols>
  <sheetData>
    <row r="1" spans="1:11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</row>
    <row r="2" spans="1:11" x14ac:dyDescent="0.3">
      <c r="A2" s="3">
        <f>'Raw Data'!A4</f>
        <v>0</v>
      </c>
      <c r="B2">
        <f>'Raw Data'!B4</f>
        <v>0</v>
      </c>
      <c r="C2" s="4">
        <f>'Raw Data'!C4</f>
        <v>0</v>
      </c>
      <c r="D2" s="4">
        <f>'Raw Data'!M4</f>
        <v>7.12</v>
      </c>
      <c r="E2" s="4">
        <f>'Raw Data'!N4</f>
        <v>0.13490737563232028</v>
      </c>
      <c r="F2" s="3">
        <f>'Raw Data'!V4</f>
        <v>7</v>
      </c>
      <c r="G2" s="3">
        <f>'Raw Data'!W4</f>
        <v>5.7154760664941053E-2</v>
      </c>
      <c r="H2" s="3">
        <f>'Raw Data'!AE4</f>
        <v>6.6033333333333326</v>
      </c>
      <c r="I2" s="3">
        <f>'Raw Data'!AF4</f>
        <v>1.8856180831641284E-2</v>
      </c>
      <c r="J2" s="3">
        <f>'Raw Data'!AN4</f>
        <v>6.6033333333333344</v>
      </c>
      <c r="K2" s="3">
        <f>'Raw Data'!AO4</f>
        <v>1.6996731711975993E-2</v>
      </c>
    </row>
    <row r="3" spans="1:11" x14ac:dyDescent="0.3">
      <c r="A3">
        <f>'Raw Data'!A5</f>
        <v>0.1</v>
      </c>
      <c r="B3">
        <f>'Raw Data'!B5</f>
        <v>0.4</v>
      </c>
      <c r="C3" s="4">
        <f>'Raw Data'!C5</f>
        <v>0.75334800000000002</v>
      </c>
      <c r="D3" s="4">
        <f>'Raw Data'!M5</f>
        <v>6.96</v>
      </c>
      <c r="E3" s="4">
        <f>'Raw Data'!N5</f>
        <v>0.16753109164172089</v>
      </c>
      <c r="F3" s="3">
        <f>'Raw Data'!V5</f>
        <v>6.9233333333333329</v>
      </c>
      <c r="G3" s="3">
        <f>'Raw Data'!W5</f>
        <v>6.1282587702834256E-2</v>
      </c>
      <c r="H3" s="3">
        <f>'Raw Data'!AE5</f>
        <v>6.3166666666666664</v>
      </c>
      <c r="I3" s="3">
        <f>'Raw Data'!AF5</f>
        <v>9.4280904158208518E-3</v>
      </c>
      <c r="J3" s="3">
        <f>'Raw Data'!AN5</f>
        <v>6.4733333333333327</v>
      </c>
      <c r="K3" s="3">
        <f>'Raw Data'!AO5</f>
        <v>4.7842333648024482E-2</v>
      </c>
    </row>
    <row r="4" spans="1:11" x14ac:dyDescent="0.3">
      <c r="A4">
        <f>'Raw Data'!A6</f>
        <v>0.2</v>
      </c>
      <c r="B4">
        <f>'Raw Data'!B6</f>
        <v>0.8</v>
      </c>
      <c r="C4" s="4">
        <f>'Raw Data'!C6</f>
        <v>1.506696</v>
      </c>
      <c r="D4" s="4">
        <f>'Raw Data'!M6</f>
        <v>6.82</v>
      </c>
      <c r="E4" s="4">
        <f>'Raw Data'!N6</f>
        <v>0.15253414918196734</v>
      </c>
      <c r="F4" s="3">
        <f>'Raw Data'!V6</f>
        <v>6.8233333333333333</v>
      </c>
      <c r="G4" s="3">
        <f>'Raw Data'!W6</f>
        <v>2.0548046676563153E-2</v>
      </c>
      <c r="H4" s="3">
        <f>'Raw Data'!AE6</f>
        <v>6.1366666666666667</v>
      </c>
      <c r="I4" s="3">
        <f>'Raw Data'!AF6</f>
        <v>3.7712361663282568E-2</v>
      </c>
      <c r="J4" s="3">
        <f>'Raw Data'!AN6</f>
        <v>6.376666666666666</v>
      </c>
      <c r="K4" s="3">
        <f>'Raw Data'!AO6</f>
        <v>7.4087035902976564E-2</v>
      </c>
    </row>
    <row r="5" spans="1:11" x14ac:dyDescent="0.3">
      <c r="A5">
        <f>'Raw Data'!A7</f>
        <v>0.3</v>
      </c>
      <c r="B5">
        <f>'Raw Data'!B7</f>
        <v>1.2</v>
      </c>
      <c r="C5" s="4">
        <f>'Raw Data'!C7</f>
        <v>2.2600439999999997</v>
      </c>
      <c r="D5" s="4">
        <f>'Raw Data'!M7</f>
        <v>6.7399999999999993</v>
      </c>
      <c r="E5" s="4">
        <f>'Raw Data'!N7</f>
        <v>0.16083117442419786</v>
      </c>
      <c r="F5" s="3">
        <f>'Raw Data'!V7</f>
        <v>6.7233333333333336</v>
      </c>
      <c r="G5" s="3">
        <f>'Raw Data'!W7</f>
        <v>5.4365021434333582E-2</v>
      </c>
      <c r="H5" s="3">
        <f>'Raw Data'!AE7</f>
        <v>5.97</v>
      </c>
      <c r="I5" s="3">
        <f>'Raw Data'!AF7</f>
        <v>1.4142135623731067E-2</v>
      </c>
      <c r="J5" s="3">
        <f>'Raw Data'!AN7</f>
        <v>6.2933333333333339</v>
      </c>
      <c r="K5" s="3">
        <f>'Raw Data'!AO7</f>
        <v>9.1043335224984395E-2</v>
      </c>
    </row>
    <row r="6" spans="1:11" x14ac:dyDescent="0.3">
      <c r="A6">
        <f>'Raw Data'!A8</f>
        <v>0.4</v>
      </c>
      <c r="B6">
        <f>'Raw Data'!B8</f>
        <v>1.6</v>
      </c>
      <c r="C6" s="9">
        <f>'Raw Data'!C8</f>
        <v>3.0133920000000001</v>
      </c>
      <c r="D6" s="4">
        <f>'Raw Data'!M8</f>
        <v>6.68</v>
      </c>
      <c r="E6" s="4">
        <f>'Raw Data'!N8</f>
        <v>0.14352700094407292</v>
      </c>
      <c r="F6" s="3">
        <f>'Raw Data'!V8</f>
        <v>6.6499999999999995</v>
      </c>
      <c r="G6" s="3">
        <f>'Raw Data'!W8</f>
        <v>2.9439202887759666E-2</v>
      </c>
      <c r="H6" s="7">
        <f>'Raw Data'!AE8</f>
        <v>5.833333333333333</v>
      </c>
      <c r="I6" s="3">
        <f>'Raw Data'!AF8</f>
        <v>1.6996731711975993E-2</v>
      </c>
      <c r="J6" s="3">
        <f>'Raw Data'!AN8</f>
        <v>6.2233333333333327</v>
      </c>
      <c r="K6" s="3">
        <f>'Raw Data'!AO8</f>
        <v>0.11145502331533653</v>
      </c>
    </row>
    <row r="7" spans="1:11" x14ac:dyDescent="0.3">
      <c r="A7">
        <f>'Raw Data'!A9</f>
        <v>0.5</v>
      </c>
      <c r="B7">
        <f>'Raw Data'!B9</f>
        <v>2</v>
      </c>
      <c r="C7" s="4">
        <f>'Raw Data'!C9</f>
        <v>3.76674</v>
      </c>
      <c r="D7" s="4">
        <f>'Raw Data'!M9</f>
        <v>6.4899999999999993</v>
      </c>
      <c r="E7" s="4">
        <f>'Raw Data'!N9</f>
        <v>0.17682382946499781</v>
      </c>
      <c r="F7" s="3">
        <f>'Raw Data'!V9</f>
        <v>6.57</v>
      </c>
      <c r="G7" s="3">
        <f>'Raw Data'!W9</f>
        <v>2.4494897427831619E-2</v>
      </c>
      <c r="H7" s="3">
        <f>'Raw Data'!AE9</f>
        <v>5.6933333333333325</v>
      </c>
      <c r="I7" s="3">
        <f>'Raw Data'!AF9</f>
        <v>1.6996731711975993E-2</v>
      </c>
      <c r="J7" s="3">
        <f>'Raw Data'!AN9</f>
        <v>6.1533333333333324</v>
      </c>
      <c r="K7" s="3">
        <f>'Raw Data'!AO9</f>
        <v>0.11145502331533653</v>
      </c>
    </row>
    <row r="8" spans="1:11" x14ac:dyDescent="0.3">
      <c r="A8">
        <f>'Raw Data'!A10</f>
        <v>0.6</v>
      </c>
      <c r="B8">
        <f>'Raw Data'!B10</f>
        <v>2.4</v>
      </c>
      <c r="C8" s="4">
        <f>'Raw Data'!C10</f>
        <v>4.5200879999999994</v>
      </c>
      <c r="D8" s="4">
        <f>'Raw Data'!M10</f>
        <v>6.3033333333333337</v>
      </c>
      <c r="E8" s="4">
        <f>'Raw Data'!N10</f>
        <v>0.10498677165349091</v>
      </c>
      <c r="F8" s="3">
        <f>'Raw Data'!V10</f>
        <v>6.4966666666666661</v>
      </c>
      <c r="G8" s="3">
        <f>'Raw Data'!W10</f>
        <v>2.4944382578493123E-2</v>
      </c>
      <c r="H8" s="3">
        <f>'Raw Data'!AE10</f>
        <v>5.5633333333333335</v>
      </c>
      <c r="I8" s="3">
        <f>'Raw Data'!AF10</f>
        <v>1.6996731711975993E-2</v>
      </c>
      <c r="J8" s="3">
        <f>'Raw Data'!AN10</f>
        <v>5.9833333333333343</v>
      </c>
      <c r="K8" s="3">
        <f>'Raw Data'!AO10</f>
        <v>4.642796092394718E-2</v>
      </c>
    </row>
    <row r="9" spans="1:11" x14ac:dyDescent="0.3">
      <c r="A9">
        <f>'Raw Data'!A11</f>
        <v>0.7</v>
      </c>
      <c r="B9">
        <f>'Raw Data'!B11</f>
        <v>2.8</v>
      </c>
      <c r="C9" s="4">
        <f>'Raw Data'!C11</f>
        <v>5.2734359999999993</v>
      </c>
      <c r="D9" s="4">
        <f>'Raw Data'!M11</f>
        <v>6.2166666666666659</v>
      </c>
      <c r="E9" s="4">
        <f>'Raw Data'!N11</f>
        <v>0.15282524515130189</v>
      </c>
      <c r="F9" s="3">
        <f>'Raw Data'!V11</f>
        <v>6.4633333333333338</v>
      </c>
      <c r="G9" s="3">
        <f>'Raw Data'!W11</f>
        <v>3.6817870057290807E-2</v>
      </c>
      <c r="H9" s="3">
        <f>'Raw Data'!AE11</f>
        <v>5.4433333333333325</v>
      </c>
      <c r="I9" s="3">
        <f>'Raw Data'!AF11</f>
        <v>2.4944382578492807E-2</v>
      </c>
      <c r="J9" s="3">
        <f>'Raw Data'!AN11</f>
        <v>5.9233333333333329</v>
      </c>
      <c r="K9" s="3">
        <f>'Raw Data'!AO11</f>
        <v>3.8586123009300748E-2</v>
      </c>
    </row>
    <row r="10" spans="1:11" x14ac:dyDescent="0.3">
      <c r="A10">
        <f>'Raw Data'!A12</f>
        <v>0.8</v>
      </c>
      <c r="B10">
        <f>'Raw Data'!B12</f>
        <v>3.2</v>
      </c>
      <c r="C10" s="4">
        <f>'Raw Data'!C12</f>
        <v>6.0267840000000001</v>
      </c>
      <c r="D10" s="4">
        <f>'Raw Data'!M12</f>
        <v>6.1366666666666667</v>
      </c>
      <c r="E10" s="4">
        <f>'Raw Data'!N12</f>
        <v>0.20237478982214047</v>
      </c>
      <c r="F10" s="3">
        <f>'Raw Data'!V12</f>
        <v>6.4366666666666674</v>
      </c>
      <c r="G10" s="3">
        <f>'Raw Data'!W12</f>
        <v>4.4969125210773349E-2</v>
      </c>
      <c r="H10" s="3">
        <f>'Raw Data'!AE12</f>
        <v>5.3266666666666671</v>
      </c>
      <c r="I10" s="3">
        <f>'Raw Data'!AF12</f>
        <v>2.0548046676563202E-2</v>
      </c>
      <c r="J10" s="3">
        <f>'Raw Data'!AN12</f>
        <v>5.8633333333333333</v>
      </c>
      <c r="K10" s="3">
        <f>'Raw Data'!AO12</f>
        <v>3.8586123009301025E-2</v>
      </c>
    </row>
    <row r="11" spans="1:11" x14ac:dyDescent="0.3">
      <c r="A11">
        <f>'Raw Data'!A13</f>
        <v>0.9</v>
      </c>
      <c r="B11" s="8">
        <f>'Raw Data'!B13</f>
        <v>3.6</v>
      </c>
      <c r="C11" s="4">
        <f>'Raw Data'!C13</f>
        <v>6.780132</v>
      </c>
      <c r="D11" s="4">
        <f>'Raw Data'!M13</f>
        <v>6.0266666666666664</v>
      </c>
      <c r="E11" s="4">
        <f>'Raw Data'!N13</f>
        <v>0.27133415233291636</v>
      </c>
      <c r="F11" s="3">
        <f>'Raw Data'!V13</f>
        <v>6.419999999999999</v>
      </c>
      <c r="G11" s="3">
        <f>'Raw Data'!W13</f>
        <v>5.6568542494923851E-2</v>
      </c>
      <c r="H11" s="3">
        <f>'Raw Data'!AE13</f>
        <v>5.23</v>
      </c>
      <c r="I11" s="3">
        <f>'Raw Data'!AF13</f>
        <v>2.1602468994692817E-2</v>
      </c>
      <c r="J11" s="7">
        <f>'Raw Data'!AN13</f>
        <v>5.8</v>
      </c>
      <c r="K11" s="3">
        <f>'Raw Data'!AO13</f>
        <v>4.3204937989385635E-2</v>
      </c>
    </row>
    <row r="12" spans="1:11" x14ac:dyDescent="0.3">
      <c r="A12" s="4">
        <f>'Raw Data'!A14</f>
        <v>1</v>
      </c>
      <c r="B12">
        <f>'Raw Data'!B14</f>
        <v>4</v>
      </c>
      <c r="C12" s="4">
        <f>'Raw Data'!C14</f>
        <v>7.53348</v>
      </c>
      <c r="D12" s="4">
        <f>'Raw Data'!M14</f>
        <v>5.9733333333333336</v>
      </c>
      <c r="E12" s="4">
        <f>'Raw Data'!N14</f>
        <v>0.31478387647541428</v>
      </c>
      <c r="F12" s="3">
        <f>'Raw Data'!V14</f>
        <v>6.3866666666666667</v>
      </c>
      <c r="G12" s="3">
        <f>'Raw Data'!W14</f>
        <v>4.642796092394718E-2</v>
      </c>
      <c r="H12" s="3">
        <f>'Raw Data'!AE14</f>
        <v>5.1333333333333329</v>
      </c>
      <c r="I12" s="3">
        <f>'Raw Data'!AF14</f>
        <v>9.428090415820432E-3</v>
      </c>
      <c r="J12" s="3">
        <f>'Raw Data'!AN14</f>
        <v>5.7466666666666661</v>
      </c>
      <c r="K12" s="3">
        <f>'Raw Data'!AO14</f>
        <v>4.7842333648024482E-2</v>
      </c>
    </row>
    <row r="13" spans="1:11" x14ac:dyDescent="0.3">
      <c r="A13">
        <f>'Raw Data'!A15</f>
        <v>1.1000000000000001</v>
      </c>
      <c r="B13">
        <f>'Raw Data'!B15</f>
        <v>4.4000000000000004</v>
      </c>
      <c r="C13" s="4">
        <f>'Raw Data'!C15</f>
        <v>8.2868279999999999</v>
      </c>
      <c r="D13" s="4">
        <f>'Raw Data'!M15</f>
        <v>5.9200000000000008</v>
      </c>
      <c r="E13" s="4">
        <f>'Raw Data'!N15</f>
        <v>0.36505707316345282</v>
      </c>
      <c r="F13" s="3">
        <f>'Raw Data'!V15</f>
        <v>6.3633333333333333</v>
      </c>
      <c r="G13" s="3">
        <f>'Raw Data'!W15</f>
        <v>6.3420991968134985E-2</v>
      </c>
      <c r="H13" s="3">
        <f>'Raw Data'!AE15</f>
        <v>5.0466666666666669</v>
      </c>
      <c r="I13" s="3">
        <f>'Raw Data'!AF15</f>
        <v>4.714045207910216E-3</v>
      </c>
      <c r="J13" s="3">
        <f>'Raw Data'!AN15</f>
        <v>5.6966666666666663</v>
      </c>
      <c r="K13" s="3">
        <f>'Raw Data'!AO15</f>
        <v>5.4365021434333728E-2</v>
      </c>
    </row>
    <row r="14" spans="1:11" x14ac:dyDescent="0.3">
      <c r="A14">
        <f>'Raw Data'!A16</f>
        <v>1.2</v>
      </c>
      <c r="B14">
        <f>'Raw Data'!B16</f>
        <v>4.8</v>
      </c>
      <c r="C14" s="4">
        <f>'Raw Data'!C16</f>
        <v>9.0401759999999989</v>
      </c>
      <c r="D14" s="4">
        <f>'Raw Data'!M16</f>
        <v>5.8233333333333333</v>
      </c>
      <c r="E14" s="4">
        <f>'Raw Data'!N16</f>
        <v>0.41962946618283264</v>
      </c>
      <c r="F14" s="3">
        <f>'Raw Data'!V16</f>
        <v>6.3533333333333344</v>
      </c>
      <c r="G14" s="3">
        <f>'Raw Data'!W16</f>
        <v>6.5996632910744521E-2</v>
      </c>
      <c r="H14" s="3">
        <f>'Raw Data'!AE16</f>
        <v>4.9466666666666663</v>
      </c>
      <c r="I14" s="3">
        <f>'Raw Data'!AF16</f>
        <v>3.6817870057290807E-2</v>
      </c>
      <c r="J14" s="3">
        <f>'Raw Data'!AN16</f>
        <v>5.6366666666666667</v>
      </c>
      <c r="K14" s="3">
        <f>'Raw Data'!AO16</f>
        <v>4.7140452079103001E-2</v>
      </c>
    </row>
    <row r="15" spans="1:11" x14ac:dyDescent="0.3">
      <c r="A15">
        <f>'Raw Data'!A17</f>
        <v>1.3</v>
      </c>
      <c r="B15">
        <f>'Raw Data'!B17</f>
        <v>5.2</v>
      </c>
      <c r="C15" s="4">
        <f>'Raw Data'!C17</f>
        <v>9.7935239999999997</v>
      </c>
      <c r="D15" s="4">
        <f>'Raw Data'!M17</f>
        <v>5.706666666666667</v>
      </c>
      <c r="E15" s="4">
        <f>'Raw Data'!N17</f>
        <v>0.48237836693708502</v>
      </c>
      <c r="F15" s="3">
        <f>'Raw Data'!V17</f>
        <v>6.333333333333333</v>
      </c>
      <c r="G15" s="3">
        <f>'Raw Data'!W17</f>
        <v>7.760297817881856E-2</v>
      </c>
      <c r="H15" s="3">
        <f>'Raw Data'!AE17</f>
        <v>4.91</v>
      </c>
      <c r="I15" s="3">
        <f>'Raw Data'!AF17</f>
        <v>2.1602468994692817E-2</v>
      </c>
      <c r="J15" s="3">
        <f>'Raw Data'!AN17</f>
        <v>5.59</v>
      </c>
      <c r="K15" s="3">
        <f>'Raw Data'!AO17</f>
        <v>4.9665548085837993E-2</v>
      </c>
    </row>
    <row r="16" spans="1:11" x14ac:dyDescent="0.3">
      <c r="A16">
        <f>'Raw Data'!A18</f>
        <v>1.4</v>
      </c>
      <c r="B16">
        <f>'Raw Data'!B18</f>
        <v>5.6</v>
      </c>
      <c r="C16" s="4">
        <f>'Raw Data'!C18</f>
        <v>10.546871999999999</v>
      </c>
      <c r="D16" s="4">
        <f>'Raw Data'!M18</f>
        <v>5.5933333333333337</v>
      </c>
      <c r="E16" s="4">
        <f>'Raw Data'!N18</f>
        <v>0.54628035130528174</v>
      </c>
      <c r="F16" s="3">
        <f>'Raw Data'!V18</f>
        <v>6.3166666666666664</v>
      </c>
      <c r="G16" s="3">
        <f>'Raw Data'!W18</f>
        <v>7.7602978178818935E-2</v>
      </c>
      <c r="H16" s="3">
        <f>'Raw Data'!AE18</f>
        <v>4.8366666666666669</v>
      </c>
      <c r="I16" s="3">
        <f>'Raw Data'!AF18</f>
        <v>1.6996731711975993E-2</v>
      </c>
      <c r="J16" s="3">
        <f>'Raw Data'!AN18</f>
        <v>5.5466666666666669</v>
      </c>
      <c r="K16" s="3">
        <f>'Raw Data'!AO18</f>
        <v>4.7842333648024218E-2</v>
      </c>
    </row>
    <row r="17" spans="1:11" x14ac:dyDescent="0.3">
      <c r="A17">
        <f>'Raw Data'!A19</f>
        <v>1.5</v>
      </c>
      <c r="B17">
        <f>'Raw Data'!B19</f>
        <v>6</v>
      </c>
      <c r="C17" s="4">
        <f>'Raw Data'!C19</f>
        <v>11.300219999999999</v>
      </c>
      <c r="D17" s="4">
        <f>'Raw Data'!M19</f>
        <v>5.419999999999999</v>
      </c>
      <c r="E17" s="4">
        <f>'Raw Data'!N19</f>
        <v>0.65099923195039422</v>
      </c>
      <c r="F17" s="3">
        <f>'Raw Data'!V19</f>
        <v>6.29</v>
      </c>
      <c r="G17" s="3">
        <f>'Raw Data'!W19</f>
        <v>9.8994949366116691E-2</v>
      </c>
      <c r="H17" s="3">
        <f>'Raw Data'!AE19</f>
        <v>4.78</v>
      </c>
      <c r="I17" s="3">
        <f>'Raw Data'!AF19</f>
        <v>1.4142135623731067E-2</v>
      </c>
      <c r="J17" s="3">
        <f>'Raw Data'!AN19</f>
        <v>5.5033333333333339</v>
      </c>
      <c r="K17" s="3">
        <f>'Raw Data'!AO19</f>
        <v>4.6427960923946777E-2</v>
      </c>
    </row>
    <row r="18" spans="1:11" x14ac:dyDescent="0.3">
      <c r="A18">
        <f>'Raw Data'!A20</f>
        <v>1.6</v>
      </c>
      <c r="B18">
        <f>'Raw Data'!B20</f>
        <v>6.4</v>
      </c>
      <c r="C18" s="4">
        <f>'Raw Data'!C20</f>
        <v>12.053568</v>
      </c>
      <c r="D18" s="4">
        <f>'Raw Data'!M20</f>
        <v>5.3466666666666667</v>
      </c>
      <c r="E18" s="4">
        <f>'Raw Data'!N20</f>
        <v>0.68999194842323408</v>
      </c>
      <c r="F18" s="3">
        <f>'Raw Data'!V20</f>
        <v>6.2733333333333334</v>
      </c>
      <c r="G18" s="3">
        <f>'Raw Data'!W20</f>
        <v>0.10274023338281629</v>
      </c>
      <c r="H18" s="3">
        <f>'Raw Data'!AE20</f>
        <v>4.71</v>
      </c>
      <c r="I18" s="3">
        <f>'Raw Data'!AF20</f>
        <v>8.164965809277086E-3</v>
      </c>
      <c r="J18" s="3">
        <f>'Raw Data'!AN20</f>
        <v>5.4566666666666661</v>
      </c>
      <c r="K18" s="3">
        <f>'Raw Data'!AO20</f>
        <v>4.1899350299921596E-2</v>
      </c>
    </row>
    <row r="19" spans="1:11" x14ac:dyDescent="0.3">
      <c r="A19">
        <f>'Raw Data'!A21</f>
        <v>1.7</v>
      </c>
      <c r="B19">
        <f>'Raw Data'!B21</f>
        <v>6.8</v>
      </c>
      <c r="C19" s="4">
        <f>'Raw Data'!C21</f>
        <v>12.806915999999999</v>
      </c>
      <c r="D19" s="4">
        <f>'Raw Data'!M21</f>
        <v>5.206666666666667</v>
      </c>
      <c r="E19" s="4"/>
      <c r="F19" s="3">
        <f>'Raw Data'!V21</f>
        <v>6.2600000000000007</v>
      </c>
      <c r="G19" s="3">
        <f>'Raw Data'!W21</f>
        <v>0.11224972160321807</v>
      </c>
      <c r="H19" s="3">
        <f>'Raw Data'!AE21</f>
        <v>4.6466666666666674</v>
      </c>
      <c r="I19" s="3">
        <f>'Raw Data'!AF21</f>
        <v>1.2472191289246601E-2</v>
      </c>
      <c r="J19" s="3">
        <f>'Raw Data'!AN21</f>
        <v>5.4200000000000008</v>
      </c>
      <c r="K19" s="3">
        <f>'Raw Data'!AO21</f>
        <v>3.7416573867739326E-2</v>
      </c>
    </row>
    <row r="20" spans="1:11" x14ac:dyDescent="0.3">
      <c r="A20">
        <f>'Raw Data'!A22</f>
        <v>1.8</v>
      </c>
      <c r="B20">
        <f>'Raw Data'!B22</f>
        <v>7.2</v>
      </c>
      <c r="C20" s="4">
        <f>'Raw Data'!C22</f>
        <v>13.560264</v>
      </c>
      <c r="D20" s="4">
        <f>'Raw Data'!M22</f>
        <v>4.43</v>
      </c>
      <c r="E20" s="4"/>
      <c r="F20" s="3">
        <f>'Raw Data'!V22</f>
        <v>6.2433333333333332</v>
      </c>
      <c r="G20" s="3">
        <f>'Raw Data'!W22</f>
        <v>0.12119772641798564</v>
      </c>
      <c r="H20" s="3">
        <f>'Raw Data'!AE22</f>
        <v>4.5733333333333333</v>
      </c>
      <c r="I20" s="3">
        <f>'Raw Data'!AF22</f>
        <v>9.4280904158208518E-3</v>
      </c>
      <c r="J20" s="3">
        <f>'Raw Data'!AN22</f>
        <v>5.3666666666666671</v>
      </c>
      <c r="K20" s="3">
        <f>'Raw Data'!AO22</f>
        <v>2.6246692913372557E-2</v>
      </c>
    </row>
    <row r="21" spans="1:11" x14ac:dyDescent="0.3">
      <c r="A21">
        <f>'Raw Data'!A23</f>
        <v>1.9</v>
      </c>
      <c r="B21">
        <f>'Raw Data'!B23</f>
        <v>7.6</v>
      </c>
      <c r="C21" s="4">
        <f>'Raw Data'!C23</f>
        <v>14.313611999999999</v>
      </c>
      <c r="D21" s="4">
        <f>'Raw Data'!M23</f>
        <v>4.3449999999999998</v>
      </c>
      <c r="E21" s="4"/>
      <c r="F21" s="3">
        <f>'Raw Data'!V23</f>
        <v>6.2166666666666659</v>
      </c>
      <c r="G21" s="3">
        <f>'Raw Data'!W23</f>
        <v>0.1327487183449326</v>
      </c>
      <c r="H21" s="3">
        <f>'Raw Data'!AE23</f>
        <v>4.503333333333333</v>
      </c>
      <c r="I21" s="3">
        <f>'Raw Data'!AF23</f>
        <v>1.2472191289246206E-2</v>
      </c>
      <c r="J21" s="3">
        <f>'Raw Data'!AN23</f>
        <v>5.3266666666666671</v>
      </c>
      <c r="K21" s="3">
        <f>'Raw Data'!AO23</f>
        <v>2.0548046676563202E-2</v>
      </c>
    </row>
    <row r="22" spans="1:11" x14ac:dyDescent="0.3">
      <c r="A22" s="4">
        <f>'Raw Data'!A24</f>
        <v>2</v>
      </c>
      <c r="B22">
        <f>'Raw Data'!B24</f>
        <v>8</v>
      </c>
      <c r="C22" s="4">
        <f>'Raw Data'!C24</f>
        <v>15.06696</v>
      </c>
      <c r="D22" s="4">
        <f>'Raw Data'!M24</f>
        <v>4.29</v>
      </c>
      <c r="E22" s="4"/>
      <c r="F22" s="3">
        <f>'Raw Data'!V24</f>
        <v>6.19</v>
      </c>
      <c r="G22" s="3">
        <f>'Raw Data'!W24</f>
        <v>0.1416568624058385</v>
      </c>
      <c r="H22" s="3">
        <f>'Raw Data'!AE24</f>
        <v>4.4266666666666667</v>
      </c>
      <c r="I22" s="3">
        <f>'Raw Data'!AF24</f>
        <v>4.714045207910216E-3</v>
      </c>
      <c r="J22" s="3">
        <f>'Raw Data'!AN24</f>
        <v>5.293333333333333</v>
      </c>
      <c r="K22" s="3">
        <f>'Raw Data'!AO24</f>
        <v>2.0548046676563538E-2</v>
      </c>
    </row>
    <row r="23" spans="1:11" x14ac:dyDescent="0.3">
      <c r="A23">
        <f>'Raw Data'!A25</f>
        <v>2.1</v>
      </c>
      <c r="B23">
        <f>'Raw Data'!B25</f>
        <v>8.4</v>
      </c>
      <c r="C23" s="4">
        <f>'Raw Data'!C25</f>
        <v>15.820308000000001</v>
      </c>
      <c r="D23" s="4">
        <f>'Raw Data'!M25</f>
        <v>4.2300000000000004</v>
      </c>
      <c r="E23" s="4"/>
      <c r="F23" s="3">
        <f>'Raw Data'!V25</f>
        <v>6.169999999999999</v>
      </c>
      <c r="G23" s="3">
        <f>'Raw Data'!W25</f>
        <v>0.15253414918196739</v>
      </c>
      <c r="H23" s="3">
        <f>'Raw Data'!AE25</f>
        <v>4.3433333333333328</v>
      </c>
      <c r="I23" s="3">
        <f>'Raw Data'!AF25</f>
        <v>4.714045207910216E-3</v>
      </c>
      <c r="J23" s="3">
        <f>'Raw Data'!AN25</f>
        <v>5.2633333333333336</v>
      </c>
      <c r="K23" s="3">
        <f>'Raw Data'!AO25</f>
        <v>1.6996731711975879E-2</v>
      </c>
    </row>
    <row r="24" spans="1:11" x14ac:dyDescent="0.3">
      <c r="A24">
        <f>'Raw Data'!A26</f>
        <v>2.2000000000000002</v>
      </c>
      <c r="B24">
        <f>'Raw Data'!B26</f>
        <v>8.8000000000000007</v>
      </c>
      <c r="C24" s="4">
        <f>'Raw Data'!C26</f>
        <v>16.573656</v>
      </c>
      <c r="D24" s="4">
        <f>'Raw Data'!M26</f>
        <v>4.1549999999999994</v>
      </c>
      <c r="E24" s="4"/>
      <c r="F24" s="3">
        <f>'Raw Data'!V26</f>
        <v>6.1400000000000006</v>
      </c>
      <c r="G24" s="3">
        <f>'Raw Data'!W26</f>
        <v>0.16391054470859012</v>
      </c>
      <c r="H24" s="3">
        <f>'Raw Data'!AE26</f>
        <v>4.253333333333333</v>
      </c>
      <c r="I24" s="3">
        <f>'Raw Data'!AF26</f>
        <v>4.714045207910216E-3</v>
      </c>
      <c r="J24" s="3">
        <f>'Raw Data'!AN26</f>
        <v>5.2333333333333334</v>
      </c>
      <c r="K24" s="3">
        <f>'Raw Data'!AO26</f>
        <v>1.6996731711975993E-2</v>
      </c>
    </row>
    <row r="25" spans="1:11" x14ac:dyDescent="0.3">
      <c r="A25">
        <f>'Raw Data'!A27</f>
        <v>2.2999999999999998</v>
      </c>
      <c r="B25">
        <f>'Raw Data'!B27</f>
        <v>9.1999999999999993</v>
      </c>
      <c r="C25" s="4">
        <f>'Raw Data'!C27</f>
        <v>17.327003999999999</v>
      </c>
      <c r="D25" s="4">
        <f>'Raw Data'!M27</f>
        <v>4.0749999999999993</v>
      </c>
      <c r="E25" s="4"/>
      <c r="F25" s="3">
        <f>'Raw Data'!V27</f>
        <v>6.1166666666666671</v>
      </c>
      <c r="G25" s="3">
        <f>'Raw Data'!W27</f>
        <v>0.18116904322268274</v>
      </c>
      <c r="H25" s="3">
        <f>'Raw Data'!AE27</f>
        <v>4.1533333333333333</v>
      </c>
      <c r="I25" s="3">
        <f>'Raw Data'!AF27</f>
        <v>1.2472191289246521E-2</v>
      </c>
      <c r="J25" s="3">
        <f>'Raw Data'!AN27</f>
        <v>5.2133333333333338</v>
      </c>
      <c r="K25" s="3">
        <f>'Raw Data'!AO27</f>
        <v>9.428090415820432E-3</v>
      </c>
    </row>
    <row r="26" spans="1:11" x14ac:dyDescent="0.3">
      <c r="A26">
        <f>'Raw Data'!A28</f>
        <v>2.4</v>
      </c>
      <c r="B26">
        <f>'Raw Data'!B28</f>
        <v>9.6</v>
      </c>
      <c r="C26" s="4">
        <f>'Raw Data'!C28</f>
        <v>18.080351999999998</v>
      </c>
      <c r="D26" s="4">
        <f>'Raw Data'!M28</f>
        <v>3.9950000000000001</v>
      </c>
      <c r="E26" s="4"/>
      <c r="F26" s="3">
        <f>'Raw Data'!V28</f>
        <v>6.0999999999999988</v>
      </c>
      <c r="G26" s="3">
        <f>'Raw Data'!W28</f>
        <v>0.18991226044325485</v>
      </c>
      <c r="H26" s="3">
        <f>'Raw Data'!AE28</f>
        <v>4.0533333333333337</v>
      </c>
      <c r="I26" s="3">
        <f>'Raw Data'!AF28</f>
        <v>1.2472191289246601E-2</v>
      </c>
      <c r="J26" s="3">
        <f>'Raw Data'!AN28</f>
        <v>5.19</v>
      </c>
      <c r="K26" s="3">
        <f>'Raw Data'!AO28</f>
        <v>8.1649658092774486E-3</v>
      </c>
    </row>
    <row r="27" spans="1:11" x14ac:dyDescent="0.3">
      <c r="A27" s="4">
        <f>'Raw Data'!A29</f>
        <v>2.5</v>
      </c>
      <c r="B27">
        <f>'Raw Data'!B29</f>
        <v>10</v>
      </c>
      <c r="C27" s="4">
        <f>'Raw Data'!C29</f>
        <v>18.8337</v>
      </c>
      <c r="D27" s="4">
        <f>'Raw Data'!M29</f>
        <v>3.9049999999999998</v>
      </c>
      <c r="E27" s="4"/>
      <c r="F27" s="3">
        <f>'Raw Data'!V29</f>
        <v>6.083333333333333</v>
      </c>
      <c r="G27" s="3">
        <f>'Raw Data'!W29</f>
        <v>0.20677416559027767</v>
      </c>
      <c r="H27" s="3">
        <f>'Raw Data'!AE29</f>
        <v>3.9266666666666663</v>
      </c>
      <c r="I27" s="3">
        <f>'Raw Data'!AF29</f>
        <v>1.2472191289246403E-2</v>
      </c>
      <c r="J27" s="3">
        <f>'Raw Data'!AN29</f>
        <v>5.16</v>
      </c>
      <c r="K27" s="3">
        <f>'Raw Data'!AO29</f>
        <v>8.164965809277086E-3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8D3AD-256E-43BF-AAE5-8303985FFF8D}">
  <dimension ref="A1:AO31"/>
  <sheetViews>
    <sheetView topLeftCell="T1" workbookViewId="0">
      <selection activeCell="AL29" sqref="AL29"/>
    </sheetView>
  </sheetViews>
  <sheetFormatPr defaultRowHeight="14.4" x14ac:dyDescent="0.3"/>
  <cols>
    <col min="1" max="1" width="10.6640625" bestFit="1" customWidth="1"/>
    <col min="2" max="2" width="21.6640625" bestFit="1" customWidth="1"/>
    <col min="3" max="3" width="28" bestFit="1" customWidth="1"/>
    <col min="4" max="4" width="33.6640625" bestFit="1" customWidth="1"/>
    <col min="5" max="5" width="25.44140625" customWidth="1"/>
    <col min="22" max="22" width="10.5546875" bestFit="1" customWidth="1"/>
    <col min="25" max="25" width="9.5546875" bestFit="1" customWidth="1"/>
  </cols>
  <sheetData>
    <row r="1" spans="1:41" x14ac:dyDescent="0.3">
      <c r="G1" s="1" t="s">
        <v>18</v>
      </c>
      <c r="P1" s="1" t="s">
        <v>19</v>
      </c>
      <c r="Y1" s="1" t="s">
        <v>20</v>
      </c>
      <c r="AH1" s="1" t="s">
        <v>21</v>
      </c>
    </row>
    <row r="2" spans="1:41" x14ac:dyDescent="0.3">
      <c r="D2" s="1" t="s">
        <v>22</v>
      </c>
      <c r="G2" s="1" t="s">
        <v>23</v>
      </c>
      <c r="I2" s="1" t="s">
        <v>24</v>
      </c>
      <c r="K2" s="1" t="s">
        <v>25</v>
      </c>
      <c r="M2" s="1" t="s">
        <v>26</v>
      </c>
      <c r="N2" s="1" t="s">
        <v>27</v>
      </c>
      <c r="P2" s="1" t="s">
        <v>23</v>
      </c>
      <c r="R2" s="1" t="s">
        <v>24</v>
      </c>
      <c r="T2" s="1" t="s">
        <v>25</v>
      </c>
      <c r="V2" s="1" t="s">
        <v>26</v>
      </c>
      <c r="W2" s="1" t="s">
        <v>28</v>
      </c>
      <c r="Y2" s="1" t="s">
        <v>23</v>
      </c>
      <c r="AA2" s="1" t="s">
        <v>24</v>
      </c>
      <c r="AC2" s="1" t="s">
        <v>25</v>
      </c>
      <c r="AE2" s="1" t="s">
        <v>26</v>
      </c>
      <c r="AF2" s="1" t="s">
        <v>29</v>
      </c>
      <c r="AH2" s="1" t="s">
        <v>23</v>
      </c>
      <c r="AJ2" s="1" t="s">
        <v>24</v>
      </c>
      <c r="AL2" s="1" t="s">
        <v>25</v>
      </c>
      <c r="AN2" s="1" t="s">
        <v>26</v>
      </c>
      <c r="AO2" s="1" t="s">
        <v>30</v>
      </c>
    </row>
    <row r="3" spans="1:41" x14ac:dyDescent="0.3">
      <c r="A3" t="s">
        <v>31</v>
      </c>
      <c r="B3" t="s">
        <v>32</v>
      </c>
      <c r="C3" t="s">
        <v>9</v>
      </c>
      <c r="D3" s="4" t="s">
        <v>33</v>
      </c>
      <c r="E3">
        <f>250*10^-6</f>
        <v>2.5000000000000001E-4</v>
      </c>
      <c r="G3" t="s">
        <v>34</v>
      </c>
      <c r="H3" t="s">
        <v>35</v>
      </c>
      <c r="I3" t="s">
        <v>34</v>
      </c>
      <c r="J3" t="s">
        <v>35</v>
      </c>
      <c r="K3" t="s">
        <v>34</v>
      </c>
      <c r="L3" t="s">
        <v>36</v>
      </c>
      <c r="M3" t="s">
        <v>34</v>
      </c>
      <c r="N3" t="s">
        <v>34</v>
      </c>
      <c r="P3" t="s">
        <v>34</v>
      </c>
      <c r="Q3" t="s">
        <v>35</v>
      </c>
      <c r="R3" t="s">
        <v>34</v>
      </c>
      <c r="S3" t="s">
        <v>35</v>
      </c>
      <c r="T3" t="s">
        <v>34</v>
      </c>
      <c r="U3" t="s">
        <v>35</v>
      </c>
      <c r="V3" t="s">
        <v>34</v>
      </c>
      <c r="W3" t="s">
        <v>34</v>
      </c>
      <c r="Y3" t="s">
        <v>37</v>
      </c>
      <c r="Z3" t="s">
        <v>35</v>
      </c>
      <c r="AA3" t="s">
        <v>34</v>
      </c>
      <c r="AB3" t="s">
        <v>36</v>
      </c>
      <c r="AC3" t="s">
        <v>34</v>
      </c>
      <c r="AD3" t="s">
        <v>36</v>
      </c>
      <c r="AE3" t="s">
        <v>34</v>
      </c>
      <c r="AF3" t="s">
        <v>34</v>
      </c>
      <c r="AH3" t="s">
        <v>34</v>
      </c>
      <c r="AI3" t="s">
        <v>36</v>
      </c>
      <c r="AJ3" t="s">
        <v>34</v>
      </c>
      <c r="AK3" t="s">
        <v>35</v>
      </c>
      <c r="AL3" t="s">
        <v>34</v>
      </c>
      <c r="AM3" t="s">
        <v>35</v>
      </c>
      <c r="AN3" t="s">
        <v>34</v>
      </c>
      <c r="AO3" t="s">
        <v>34</v>
      </c>
    </row>
    <row r="4" spans="1:41" x14ac:dyDescent="0.3">
      <c r="A4" s="4">
        <v>0</v>
      </c>
      <c r="B4" s="4">
        <f>(A4*10^-3)/$E$3</f>
        <v>0</v>
      </c>
      <c r="C4" s="4">
        <f>(A4*$E$4*10^-3)/$E$3</f>
        <v>0</v>
      </c>
      <c r="D4" t="s">
        <v>38</v>
      </c>
      <c r="E4" s="5">
        <v>1.88337</v>
      </c>
      <c r="G4">
        <v>7.04</v>
      </c>
      <c r="I4">
        <v>7.31</v>
      </c>
      <c r="K4">
        <v>7.01</v>
      </c>
      <c r="M4" s="4">
        <f>(G4+I4+K4)/3</f>
        <v>7.12</v>
      </c>
      <c r="N4" s="4">
        <f>_xlfn.STDEV.P(G4,I4,K4)</f>
        <v>0.13490737563232028</v>
      </c>
      <c r="P4">
        <v>7.07</v>
      </c>
      <c r="R4">
        <v>6.93</v>
      </c>
      <c r="T4" s="3">
        <v>7</v>
      </c>
      <c r="V4" s="3">
        <f>(P4+R4+T4)/3</f>
        <v>7</v>
      </c>
      <c r="W4" s="3">
        <f>_xlfn.STDEV.P(P4,R4,T4)</f>
        <v>5.7154760664941053E-2</v>
      </c>
      <c r="Y4">
        <v>6.59</v>
      </c>
      <c r="AA4">
        <v>6.63</v>
      </c>
      <c r="AC4">
        <v>6.59</v>
      </c>
      <c r="AE4" s="3">
        <f>(Y4+AA4+AC4)/3</f>
        <v>6.6033333333333326</v>
      </c>
      <c r="AF4" s="3">
        <f>_xlfn.STDEV.P(Y4,AA4,AC4)</f>
        <v>1.8856180831641284E-2</v>
      </c>
      <c r="AH4">
        <v>6.61</v>
      </c>
      <c r="AJ4">
        <v>6.58</v>
      </c>
      <c r="AL4">
        <v>6.62</v>
      </c>
      <c r="AN4" s="3">
        <f>(AH4+AJ4+AL4)/3</f>
        <v>6.6033333333333344</v>
      </c>
      <c r="AO4" s="3">
        <f>_xlfn.STDEV.P(AH4,AJ4,AL4)</f>
        <v>1.6996731711975993E-2</v>
      </c>
    </row>
    <row r="5" spans="1:41" x14ac:dyDescent="0.3">
      <c r="A5">
        <v>0.1</v>
      </c>
      <c r="B5" s="4">
        <f t="shared" ref="B5:B31" si="0">(A5*10^-3)/$E$3</f>
        <v>0.4</v>
      </c>
      <c r="C5" s="4">
        <f t="shared" ref="C5:C31" si="1">(A5*$E$4*10^-3)/$E$3</f>
        <v>0.75334800000000002</v>
      </c>
      <c r="G5">
        <v>6.75</v>
      </c>
      <c r="I5">
        <v>7.16</v>
      </c>
      <c r="K5">
        <v>6.97</v>
      </c>
      <c r="M5" s="4">
        <f t="shared" ref="M5:M21" si="2">(G5+I5+K5)/3</f>
        <v>6.96</v>
      </c>
      <c r="N5" s="4">
        <f t="shared" ref="N5:N20" si="3">_xlfn.STDEV.P(G5,I5,K5)</f>
        <v>0.16753109164172089</v>
      </c>
      <c r="P5" s="3">
        <v>7</v>
      </c>
      <c r="R5">
        <v>6.85</v>
      </c>
      <c r="T5">
        <v>6.92</v>
      </c>
      <c r="V5" s="3">
        <f t="shared" ref="V5:V29" si="4">(P5+R5+T5)/3</f>
        <v>6.9233333333333329</v>
      </c>
      <c r="W5" s="3">
        <f t="shared" ref="W5:W29" si="5">_xlfn.STDEV.P(P5,R5,T5)</f>
        <v>6.1282587702834256E-2</v>
      </c>
      <c r="Y5">
        <v>6.31</v>
      </c>
      <c r="AA5">
        <v>6.33</v>
      </c>
      <c r="AC5">
        <v>6.31</v>
      </c>
      <c r="AE5" s="3">
        <f t="shared" ref="AE5:AE29" si="6">(Y5+AA5+AC5)/3</f>
        <v>6.3166666666666664</v>
      </c>
      <c r="AF5" s="3">
        <f t="shared" ref="AF5:AF29" si="7">_xlfn.STDEV.P(Y5,AA5,AC5)</f>
        <v>9.4280904158208518E-3</v>
      </c>
      <c r="AH5">
        <v>6.45</v>
      </c>
      <c r="AJ5">
        <v>6.43</v>
      </c>
      <c r="AL5">
        <v>6.54</v>
      </c>
      <c r="AN5" s="3">
        <f t="shared" ref="AN5:AN29" si="8">(AH5+AJ5+AL5)/3</f>
        <v>6.4733333333333327</v>
      </c>
      <c r="AO5" s="3">
        <f t="shared" ref="AO5:AO29" si="9">_xlfn.STDEV.P(AH5,AJ5,AL5)</f>
        <v>4.7842333648024482E-2</v>
      </c>
    </row>
    <row r="6" spans="1:41" x14ac:dyDescent="0.3">
      <c r="A6">
        <v>0.2</v>
      </c>
      <c r="B6" s="4">
        <f t="shared" si="0"/>
        <v>0.8</v>
      </c>
      <c r="C6" s="4">
        <f t="shared" si="1"/>
        <v>1.506696</v>
      </c>
      <c r="G6">
        <v>6.62</v>
      </c>
      <c r="I6">
        <v>6.99</v>
      </c>
      <c r="K6">
        <v>6.85</v>
      </c>
      <c r="M6" s="4">
        <f t="shared" si="2"/>
        <v>6.82</v>
      </c>
      <c r="N6" s="4">
        <f t="shared" si="3"/>
        <v>0.15253414918196734</v>
      </c>
      <c r="P6">
        <v>6.85</v>
      </c>
      <c r="R6" s="3">
        <v>6.8</v>
      </c>
      <c r="T6">
        <v>6.82</v>
      </c>
      <c r="V6" s="3">
        <f t="shared" si="4"/>
        <v>6.8233333333333333</v>
      </c>
      <c r="W6" s="3">
        <f t="shared" si="5"/>
        <v>2.0548046676563153E-2</v>
      </c>
      <c r="Y6">
        <v>6.11</v>
      </c>
      <c r="AA6">
        <v>6.19</v>
      </c>
      <c r="AC6">
        <v>6.11</v>
      </c>
      <c r="AE6" s="3">
        <f t="shared" si="6"/>
        <v>6.1366666666666667</v>
      </c>
      <c r="AF6" s="3">
        <f t="shared" si="7"/>
        <v>3.7712361663282568E-2</v>
      </c>
      <c r="AH6">
        <v>6.34</v>
      </c>
      <c r="AJ6">
        <v>6.31</v>
      </c>
      <c r="AL6">
        <v>6.48</v>
      </c>
      <c r="AN6" s="3">
        <f t="shared" si="8"/>
        <v>6.376666666666666</v>
      </c>
      <c r="AO6" s="3">
        <f t="shared" si="9"/>
        <v>7.4087035902976564E-2</v>
      </c>
    </row>
    <row r="7" spans="1:41" x14ac:dyDescent="0.3">
      <c r="A7">
        <v>0.3</v>
      </c>
      <c r="B7" s="6">
        <f t="shared" si="0"/>
        <v>1.2</v>
      </c>
      <c r="C7" s="4">
        <f t="shared" si="1"/>
        <v>2.2600439999999997</v>
      </c>
      <c r="G7">
        <v>6.52</v>
      </c>
      <c r="I7" s="3">
        <v>6.9</v>
      </c>
      <c r="K7" s="3">
        <v>6.8</v>
      </c>
      <c r="M7" s="4">
        <f t="shared" si="2"/>
        <v>6.7399999999999993</v>
      </c>
      <c r="N7" s="4">
        <f t="shared" si="3"/>
        <v>0.16083117442419786</v>
      </c>
      <c r="P7">
        <v>6.78</v>
      </c>
      <c r="R7">
        <v>6.65</v>
      </c>
      <c r="T7">
        <v>6.74</v>
      </c>
      <c r="V7" s="7">
        <f t="shared" si="4"/>
        <v>6.7233333333333336</v>
      </c>
      <c r="W7" s="3">
        <f t="shared" si="5"/>
        <v>5.4365021434333582E-2</v>
      </c>
      <c r="Y7">
        <v>5.98</v>
      </c>
      <c r="AA7">
        <v>5.98</v>
      </c>
      <c r="AC7" s="3">
        <v>5.95</v>
      </c>
      <c r="AE7" s="3">
        <f t="shared" si="6"/>
        <v>5.97</v>
      </c>
      <c r="AF7" s="3">
        <f t="shared" si="7"/>
        <v>1.4142135623731067E-2</v>
      </c>
      <c r="AH7">
        <v>6.25</v>
      </c>
      <c r="AJ7">
        <v>6.21</v>
      </c>
      <c r="AL7">
        <v>6.42</v>
      </c>
      <c r="AN7" s="3">
        <f t="shared" si="8"/>
        <v>6.2933333333333339</v>
      </c>
      <c r="AO7" s="3">
        <f t="shared" si="9"/>
        <v>9.1043335224984395E-2</v>
      </c>
    </row>
    <row r="8" spans="1:41" x14ac:dyDescent="0.3">
      <c r="A8">
        <v>0.4</v>
      </c>
      <c r="B8" s="4">
        <f t="shared" si="0"/>
        <v>1.6</v>
      </c>
      <c r="C8" s="4">
        <f t="shared" si="1"/>
        <v>3.0133920000000001</v>
      </c>
      <c r="G8">
        <v>6.48</v>
      </c>
      <c r="I8">
        <v>6.75</v>
      </c>
      <c r="K8">
        <v>6.81</v>
      </c>
      <c r="M8" s="6">
        <f t="shared" si="2"/>
        <v>6.68</v>
      </c>
      <c r="N8" s="4">
        <f t="shared" si="3"/>
        <v>0.14352700094407292</v>
      </c>
      <c r="P8">
        <v>6.62</v>
      </c>
      <c r="R8">
        <v>6.64</v>
      </c>
      <c r="T8">
        <v>6.69</v>
      </c>
      <c r="V8">
        <f t="shared" si="4"/>
        <v>6.6499999999999995</v>
      </c>
      <c r="W8" s="3">
        <f t="shared" si="5"/>
        <v>2.9439202887759666E-2</v>
      </c>
      <c r="Y8">
        <v>5.84</v>
      </c>
      <c r="AA8">
        <v>5.85</v>
      </c>
      <c r="AC8">
        <v>5.81</v>
      </c>
      <c r="AE8" s="7">
        <f t="shared" si="6"/>
        <v>5.833333333333333</v>
      </c>
      <c r="AF8" s="3">
        <f t="shared" si="7"/>
        <v>1.6996731711975993E-2</v>
      </c>
      <c r="AH8">
        <v>6.16</v>
      </c>
      <c r="AJ8">
        <v>6.13</v>
      </c>
      <c r="AL8">
        <v>6.38</v>
      </c>
      <c r="AN8" s="3">
        <f t="shared" si="8"/>
        <v>6.2233333333333327</v>
      </c>
      <c r="AO8" s="3">
        <f t="shared" si="9"/>
        <v>0.11145502331533653</v>
      </c>
    </row>
    <row r="9" spans="1:41" x14ac:dyDescent="0.3">
      <c r="A9">
        <v>0.5</v>
      </c>
      <c r="B9" s="4">
        <f t="shared" si="0"/>
        <v>2</v>
      </c>
      <c r="C9" s="4">
        <f t="shared" si="1"/>
        <v>3.76674</v>
      </c>
      <c r="G9">
        <v>6.46</v>
      </c>
      <c r="I9">
        <v>6.72</v>
      </c>
      <c r="K9">
        <v>6.29</v>
      </c>
      <c r="M9" s="4">
        <f t="shared" si="2"/>
        <v>6.4899999999999993</v>
      </c>
      <c r="N9" s="4">
        <f t="shared" si="3"/>
        <v>0.17682382946499781</v>
      </c>
      <c r="P9">
        <v>6.57</v>
      </c>
      <c r="R9" s="3">
        <v>6.6</v>
      </c>
      <c r="T9">
        <v>6.54</v>
      </c>
      <c r="V9">
        <f t="shared" si="4"/>
        <v>6.57</v>
      </c>
      <c r="W9" s="3">
        <f t="shared" si="5"/>
        <v>2.4494897427831619E-2</v>
      </c>
      <c r="Y9" s="3">
        <v>5.7</v>
      </c>
      <c r="AA9">
        <v>5.71</v>
      </c>
      <c r="AC9">
        <v>5.67</v>
      </c>
      <c r="AE9" s="3">
        <f t="shared" si="6"/>
        <v>5.6933333333333325</v>
      </c>
      <c r="AF9" s="3">
        <f t="shared" si="7"/>
        <v>1.6996731711975993E-2</v>
      </c>
      <c r="AH9">
        <v>6.09</v>
      </c>
      <c r="AJ9">
        <v>6.06</v>
      </c>
      <c r="AL9">
        <v>6.31</v>
      </c>
      <c r="AN9" s="3">
        <f t="shared" si="8"/>
        <v>6.1533333333333324</v>
      </c>
      <c r="AO9" s="3">
        <f t="shared" si="9"/>
        <v>0.11145502331533653</v>
      </c>
    </row>
    <row r="10" spans="1:41" x14ac:dyDescent="0.3">
      <c r="A10">
        <v>0.6</v>
      </c>
      <c r="B10" s="4">
        <f t="shared" si="0"/>
        <v>2.4</v>
      </c>
      <c r="C10" s="4">
        <f t="shared" si="1"/>
        <v>4.5200879999999994</v>
      </c>
      <c r="G10">
        <v>6.45</v>
      </c>
      <c r="I10">
        <v>6.25</v>
      </c>
      <c r="K10">
        <v>6.21</v>
      </c>
      <c r="M10" s="4">
        <f t="shared" si="2"/>
        <v>6.3033333333333337</v>
      </c>
      <c r="N10" s="4">
        <f t="shared" si="3"/>
        <v>0.10498677165349091</v>
      </c>
      <c r="P10">
        <v>6.49</v>
      </c>
      <c r="R10" s="3">
        <v>6.53</v>
      </c>
      <c r="T10">
        <v>6.47</v>
      </c>
      <c r="V10" s="3">
        <f t="shared" si="4"/>
        <v>6.4966666666666661</v>
      </c>
      <c r="W10" s="3">
        <f t="shared" si="5"/>
        <v>2.4944382578493123E-2</v>
      </c>
      <c r="Y10">
        <v>5.57</v>
      </c>
      <c r="AA10">
        <v>5.58</v>
      </c>
      <c r="AC10">
        <v>5.54</v>
      </c>
      <c r="AE10" s="3">
        <f t="shared" si="6"/>
        <v>5.5633333333333335</v>
      </c>
      <c r="AF10" s="3">
        <f t="shared" si="7"/>
        <v>1.6996731711975993E-2</v>
      </c>
      <c r="AH10">
        <v>6.03</v>
      </c>
      <c r="AJ10" s="3">
        <v>6</v>
      </c>
      <c r="AL10">
        <v>5.92</v>
      </c>
      <c r="AN10" s="3">
        <f t="shared" si="8"/>
        <v>5.9833333333333343</v>
      </c>
      <c r="AO10" s="3">
        <f t="shared" si="9"/>
        <v>4.642796092394718E-2</v>
      </c>
    </row>
    <row r="11" spans="1:41" x14ac:dyDescent="0.3">
      <c r="A11">
        <v>0.7</v>
      </c>
      <c r="B11" s="4">
        <f t="shared" si="0"/>
        <v>2.8</v>
      </c>
      <c r="C11" s="4">
        <f t="shared" si="1"/>
        <v>5.2734359999999993</v>
      </c>
      <c r="G11">
        <v>6.43</v>
      </c>
      <c r="I11">
        <v>6.08</v>
      </c>
      <c r="K11">
        <v>6.14</v>
      </c>
      <c r="M11" s="4">
        <f t="shared" si="2"/>
        <v>6.2166666666666659</v>
      </c>
      <c r="N11" s="4">
        <f t="shared" si="3"/>
        <v>0.15282524515130189</v>
      </c>
      <c r="P11">
        <v>6.46</v>
      </c>
      <c r="R11">
        <v>6.51</v>
      </c>
      <c r="T11">
        <v>6.42</v>
      </c>
      <c r="V11" s="3">
        <f t="shared" si="4"/>
        <v>6.4633333333333338</v>
      </c>
      <c r="W11" s="3">
        <f t="shared" si="5"/>
        <v>3.6817870057290807E-2</v>
      </c>
      <c r="Y11">
        <v>5.47</v>
      </c>
      <c r="AA11">
        <v>5.45</v>
      </c>
      <c r="AC11">
        <v>5.41</v>
      </c>
      <c r="AE11" s="3">
        <f t="shared" si="6"/>
        <v>5.4433333333333325</v>
      </c>
      <c r="AF11" s="3">
        <f t="shared" si="7"/>
        <v>2.4944382578492807E-2</v>
      </c>
      <c r="AH11">
        <v>5.96</v>
      </c>
      <c r="AJ11">
        <v>5.94</v>
      </c>
      <c r="AL11">
        <v>5.87</v>
      </c>
      <c r="AN11" s="3">
        <f t="shared" si="8"/>
        <v>5.9233333333333329</v>
      </c>
      <c r="AO11" s="3">
        <f t="shared" si="9"/>
        <v>3.8586123009300748E-2</v>
      </c>
    </row>
    <row r="12" spans="1:41" x14ac:dyDescent="0.3">
      <c r="A12">
        <v>0.8</v>
      </c>
      <c r="B12" s="4">
        <f t="shared" si="0"/>
        <v>3.2</v>
      </c>
      <c r="C12" s="4">
        <f t="shared" si="1"/>
        <v>6.0267840000000001</v>
      </c>
      <c r="G12">
        <v>6.42</v>
      </c>
      <c r="I12">
        <v>5.96</v>
      </c>
      <c r="K12">
        <v>6.03</v>
      </c>
      <c r="M12" s="4">
        <f t="shared" si="2"/>
        <v>6.1366666666666667</v>
      </c>
      <c r="N12" s="4">
        <f t="shared" si="3"/>
        <v>0.20237478982214047</v>
      </c>
      <c r="P12">
        <v>6.41</v>
      </c>
      <c r="R12" s="3">
        <v>6.5</v>
      </c>
      <c r="T12" s="3">
        <v>6.4</v>
      </c>
      <c r="V12" s="3">
        <f t="shared" si="4"/>
        <v>6.4366666666666674</v>
      </c>
      <c r="W12" s="3">
        <f t="shared" si="5"/>
        <v>4.4969125210773349E-2</v>
      </c>
      <c r="Y12">
        <v>5.35</v>
      </c>
      <c r="AA12">
        <v>5.33</v>
      </c>
      <c r="AC12" s="3">
        <v>5.3</v>
      </c>
      <c r="AE12" s="3">
        <f t="shared" si="6"/>
        <v>5.3266666666666671</v>
      </c>
      <c r="AF12" s="3">
        <f t="shared" si="7"/>
        <v>2.0548046676563202E-2</v>
      </c>
      <c r="AH12" s="3">
        <v>5.9</v>
      </c>
      <c r="AJ12">
        <v>5.88</v>
      </c>
      <c r="AL12">
        <v>5.81</v>
      </c>
      <c r="AN12" s="3">
        <f t="shared" si="8"/>
        <v>5.8633333333333333</v>
      </c>
      <c r="AO12" s="3">
        <f t="shared" si="9"/>
        <v>3.8586123009301025E-2</v>
      </c>
    </row>
    <row r="13" spans="1:41" x14ac:dyDescent="0.3">
      <c r="A13">
        <v>0.9</v>
      </c>
      <c r="B13" s="6">
        <f t="shared" si="0"/>
        <v>3.6</v>
      </c>
      <c r="C13" s="4">
        <f t="shared" si="1"/>
        <v>6.780132</v>
      </c>
      <c r="G13">
        <v>6.41</v>
      </c>
      <c r="I13">
        <v>5.82</v>
      </c>
      <c r="K13">
        <v>5.85</v>
      </c>
      <c r="M13" s="4">
        <f t="shared" si="2"/>
        <v>6.0266666666666664</v>
      </c>
      <c r="N13" s="4">
        <f t="shared" si="3"/>
        <v>0.27133415233291636</v>
      </c>
      <c r="P13">
        <v>6.38</v>
      </c>
      <c r="R13" s="3">
        <v>6.5</v>
      </c>
      <c r="T13">
        <v>6.38</v>
      </c>
      <c r="V13">
        <f t="shared" si="4"/>
        <v>6.419999999999999</v>
      </c>
      <c r="W13" s="3">
        <f t="shared" si="5"/>
        <v>5.6568542494923851E-2</v>
      </c>
      <c r="Y13">
        <v>5.26</v>
      </c>
      <c r="AA13">
        <v>5.22</v>
      </c>
      <c r="AC13">
        <v>5.21</v>
      </c>
      <c r="AE13" s="3">
        <f t="shared" si="6"/>
        <v>5.23</v>
      </c>
      <c r="AF13" s="3">
        <f t="shared" si="7"/>
        <v>2.1602468994692817E-2</v>
      </c>
      <c r="AH13" s="8">
        <v>5.84</v>
      </c>
      <c r="AJ13">
        <v>5.82</v>
      </c>
      <c r="AL13">
        <v>5.74</v>
      </c>
      <c r="AN13" s="3">
        <f t="shared" si="8"/>
        <v>5.8</v>
      </c>
      <c r="AO13" s="3">
        <f t="shared" si="9"/>
        <v>4.3204937989385635E-2</v>
      </c>
    </row>
    <row r="14" spans="1:41" x14ac:dyDescent="0.3">
      <c r="A14" s="4">
        <v>1</v>
      </c>
      <c r="B14" s="4">
        <f t="shared" si="0"/>
        <v>4</v>
      </c>
      <c r="C14" s="4">
        <f t="shared" si="1"/>
        <v>7.53348</v>
      </c>
      <c r="D14" s="4"/>
      <c r="E14" s="4"/>
      <c r="G14" s="3">
        <v>6.4</v>
      </c>
      <c r="I14">
        <v>5.65</v>
      </c>
      <c r="K14">
        <v>5.87</v>
      </c>
      <c r="M14" s="4">
        <f t="shared" si="2"/>
        <v>5.9733333333333336</v>
      </c>
      <c r="N14" s="4">
        <f t="shared" si="3"/>
        <v>0.31478387647541428</v>
      </c>
      <c r="P14">
        <v>6.37</v>
      </c>
      <c r="R14" s="3">
        <v>6.45</v>
      </c>
      <c r="T14">
        <v>6.34</v>
      </c>
      <c r="V14" s="3">
        <f t="shared" si="4"/>
        <v>6.3866666666666667</v>
      </c>
      <c r="W14" s="3">
        <f t="shared" si="5"/>
        <v>4.642796092394718E-2</v>
      </c>
      <c r="Y14">
        <v>5.14</v>
      </c>
      <c r="AA14">
        <v>5.14</v>
      </c>
      <c r="AC14">
        <v>5.12</v>
      </c>
      <c r="AE14" s="3">
        <f t="shared" si="6"/>
        <v>5.1333333333333329</v>
      </c>
      <c r="AF14" s="3">
        <f t="shared" si="7"/>
        <v>9.428090415820432E-3</v>
      </c>
      <c r="AH14">
        <v>5.79</v>
      </c>
      <c r="AJ14">
        <v>5.77</v>
      </c>
      <c r="AL14">
        <v>5.68</v>
      </c>
      <c r="AN14" s="3">
        <f t="shared" si="8"/>
        <v>5.7466666666666661</v>
      </c>
      <c r="AO14" s="3">
        <f t="shared" si="9"/>
        <v>4.7842333648024482E-2</v>
      </c>
    </row>
    <row r="15" spans="1:41" x14ac:dyDescent="0.3">
      <c r="A15">
        <v>1.1000000000000001</v>
      </c>
      <c r="B15" s="4">
        <f t="shared" si="0"/>
        <v>4.4000000000000004</v>
      </c>
      <c r="C15" s="4">
        <f t="shared" si="1"/>
        <v>8.2868279999999999</v>
      </c>
      <c r="G15">
        <v>6.39</v>
      </c>
      <c r="I15" s="3">
        <v>5.5</v>
      </c>
      <c r="K15">
        <v>5.87</v>
      </c>
      <c r="M15" s="4">
        <f t="shared" si="2"/>
        <v>5.9200000000000008</v>
      </c>
      <c r="N15" s="4">
        <f t="shared" si="3"/>
        <v>0.36505707316345282</v>
      </c>
      <c r="P15">
        <v>6.34</v>
      </c>
      <c r="R15" s="3">
        <v>6.45</v>
      </c>
      <c r="T15" s="3">
        <v>6.3</v>
      </c>
      <c r="V15" s="3">
        <f t="shared" si="4"/>
        <v>6.3633333333333333</v>
      </c>
      <c r="W15" s="3">
        <f t="shared" si="5"/>
        <v>6.3420991968134985E-2</v>
      </c>
      <c r="Y15">
        <v>5.05</v>
      </c>
      <c r="AA15">
        <v>5.05</v>
      </c>
      <c r="AC15">
        <v>5.04</v>
      </c>
      <c r="AE15" s="3">
        <f t="shared" si="6"/>
        <v>5.0466666666666669</v>
      </c>
      <c r="AF15" s="3">
        <f t="shared" si="7"/>
        <v>4.714045207910216E-3</v>
      </c>
      <c r="AH15">
        <v>5.73</v>
      </c>
      <c r="AJ15">
        <v>5.74</v>
      </c>
      <c r="AL15">
        <v>5.62</v>
      </c>
      <c r="AN15" s="3">
        <f t="shared" si="8"/>
        <v>5.6966666666666663</v>
      </c>
      <c r="AO15" s="3">
        <f t="shared" si="9"/>
        <v>5.4365021434333728E-2</v>
      </c>
    </row>
    <row r="16" spans="1:41" x14ac:dyDescent="0.3">
      <c r="A16">
        <v>1.2</v>
      </c>
      <c r="B16" s="4">
        <f t="shared" si="0"/>
        <v>4.8</v>
      </c>
      <c r="C16" s="4">
        <f t="shared" si="1"/>
        <v>9.0401759999999989</v>
      </c>
      <c r="G16">
        <v>6.37</v>
      </c>
      <c r="I16">
        <v>5.35</v>
      </c>
      <c r="K16">
        <v>5.75</v>
      </c>
      <c r="M16" s="4">
        <f t="shared" si="2"/>
        <v>5.8233333333333333</v>
      </c>
      <c r="N16" s="4">
        <f t="shared" si="3"/>
        <v>0.41962946618283264</v>
      </c>
      <c r="P16">
        <v>6.34</v>
      </c>
      <c r="R16" s="3">
        <v>6.44</v>
      </c>
      <c r="T16">
        <v>6.28</v>
      </c>
      <c r="V16" s="3">
        <f t="shared" si="4"/>
        <v>6.3533333333333344</v>
      </c>
      <c r="W16" s="3">
        <f t="shared" si="5"/>
        <v>6.5996632910744521E-2</v>
      </c>
      <c r="Y16">
        <v>4.99</v>
      </c>
      <c r="AA16" s="3">
        <v>4.9000000000000004</v>
      </c>
      <c r="AC16">
        <v>4.95</v>
      </c>
      <c r="AE16" s="3">
        <f t="shared" si="6"/>
        <v>4.9466666666666663</v>
      </c>
      <c r="AF16" s="3">
        <f t="shared" si="7"/>
        <v>3.6817870057290807E-2</v>
      </c>
      <c r="AH16">
        <v>5.67</v>
      </c>
      <c r="AJ16">
        <v>5.67</v>
      </c>
      <c r="AL16">
        <v>5.57</v>
      </c>
      <c r="AN16" s="3">
        <f t="shared" si="8"/>
        <v>5.6366666666666667</v>
      </c>
      <c r="AO16" s="3">
        <f t="shared" si="9"/>
        <v>4.7140452079103001E-2</v>
      </c>
    </row>
    <row r="17" spans="1:41" x14ac:dyDescent="0.3">
      <c r="A17">
        <v>1.3</v>
      </c>
      <c r="B17" s="4">
        <f t="shared" si="0"/>
        <v>5.2</v>
      </c>
      <c r="C17" s="4">
        <f t="shared" si="1"/>
        <v>9.7935239999999997</v>
      </c>
      <c r="G17">
        <v>6.36</v>
      </c>
      <c r="I17">
        <v>5.21</v>
      </c>
      <c r="K17">
        <v>5.55</v>
      </c>
      <c r="M17" s="4">
        <f t="shared" si="2"/>
        <v>5.706666666666667</v>
      </c>
      <c r="N17" s="4">
        <f t="shared" si="3"/>
        <v>0.48237836693708502</v>
      </c>
      <c r="P17">
        <v>6.33</v>
      </c>
      <c r="R17" s="3">
        <v>6.43</v>
      </c>
      <c r="T17">
        <v>6.24</v>
      </c>
      <c r="V17" s="3">
        <f t="shared" si="4"/>
        <v>6.333333333333333</v>
      </c>
      <c r="W17" s="3">
        <f t="shared" si="5"/>
        <v>7.760297817881856E-2</v>
      </c>
      <c r="Y17">
        <v>4.92</v>
      </c>
      <c r="AA17">
        <v>4.93</v>
      </c>
      <c r="AC17">
        <v>4.88</v>
      </c>
      <c r="AE17" s="3">
        <f t="shared" si="6"/>
        <v>4.91</v>
      </c>
      <c r="AF17" s="3">
        <f t="shared" si="7"/>
        <v>2.1602468994692817E-2</v>
      </c>
      <c r="AH17">
        <v>5.62</v>
      </c>
      <c r="AJ17">
        <v>5.63</v>
      </c>
      <c r="AL17">
        <v>5.52</v>
      </c>
      <c r="AN17">
        <f t="shared" si="8"/>
        <v>5.59</v>
      </c>
      <c r="AO17" s="3">
        <f t="shared" si="9"/>
        <v>4.9665548085837993E-2</v>
      </c>
    </row>
    <row r="18" spans="1:41" x14ac:dyDescent="0.3">
      <c r="A18">
        <v>1.4</v>
      </c>
      <c r="B18" s="4">
        <f t="shared" si="0"/>
        <v>5.6</v>
      </c>
      <c r="C18" s="4">
        <f t="shared" si="1"/>
        <v>10.546871999999999</v>
      </c>
      <c r="G18">
        <v>6.35</v>
      </c>
      <c r="I18">
        <v>5.08</v>
      </c>
      <c r="K18">
        <v>5.35</v>
      </c>
      <c r="M18" s="4">
        <f t="shared" si="2"/>
        <v>5.5933333333333337</v>
      </c>
      <c r="N18" s="4">
        <f t="shared" si="3"/>
        <v>0.54628035130528174</v>
      </c>
      <c r="P18">
        <v>6.32</v>
      </c>
      <c r="R18" s="3">
        <v>6.41</v>
      </c>
      <c r="T18">
        <v>6.22</v>
      </c>
      <c r="V18" s="3">
        <f>(P18+R18+T18)/3</f>
        <v>6.3166666666666664</v>
      </c>
      <c r="W18" s="3">
        <f t="shared" si="5"/>
        <v>7.7602978178818935E-2</v>
      </c>
      <c r="Y18">
        <v>4.8600000000000003</v>
      </c>
      <c r="AA18">
        <v>4.83</v>
      </c>
      <c r="AC18">
        <v>4.82</v>
      </c>
      <c r="AE18" s="3">
        <f t="shared" si="6"/>
        <v>4.8366666666666669</v>
      </c>
      <c r="AF18" s="3">
        <f t="shared" si="7"/>
        <v>1.6996731711975993E-2</v>
      </c>
      <c r="AH18">
        <v>5.57</v>
      </c>
      <c r="AJ18">
        <v>5.59</v>
      </c>
      <c r="AL18">
        <v>5.48</v>
      </c>
      <c r="AN18" s="3">
        <f t="shared" si="8"/>
        <v>5.5466666666666669</v>
      </c>
      <c r="AO18" s="3">
        <f t="shared" si="9"/>
        <v>4.7842333648024218E-2</v>
      </c>
    </row>
    <row r="19" spans="1:41" x14ac:dyDescent="0.3">
      <c r="A19">
        <v>1.5</v>
      </c>
      <c r="B19" s="4">
        <f t="shared" si="0"/>
        <v>6</v>
      </c>
      <c r="C19" s="4">
        <f t="shared" si="1"/>
        <v>11.300219999999999</v>
      </c>
      <c r="G19">
        <v>6.34</v>
      </c>
      <c r="I19">
        <v>4.93</v>
      </c>
      <c r="K19">
        <v>4.99</v>
      </c>
      <c r="M19" s="4">
        <f t="shared" si="2"/>
        <v>5.419999999999999</v>
      </c>
      <c r="N19" s="4">
        <f t="shared" si="3"/>
        <v>0.65099923195039422</v>
      </c>
      <c r="P19">
        <v>6.31</v>
      </c>
      <c r="R19" s="3">
        <v>6.4</v>
      </c>
      <c r="T19">
        <v>6.16</v>
      </c>
      <c r="V19" s="4">
        <f t="shared" si="4"/>
        <v>6.29</v>
      </c>
      <c r="W19" s="4">
        <f t="shared" si="5"/>
        <v>9.8994949366116691E-2</v>
      </c>
      <c r="Y19">
        <v>4.79</v>
      </c>
      <c r="AA19">
        <v>4.79</v>
      </c>
      <c r="AC19">
        <v>4.76</v>
      </c>
      <c r="AE19" s="3">
        <f t="shared" si="6"/>
        <v>4.78</v>
      </c>
      <c r="AF19" s="3">
        <f t="shared" si="7"/>
        <v>1.4142135623731067E-2</v>
      </c>
      <c r="AH19">
        <v>5.52</v>
      </c>
      <c r="AJ19">
        <v>5.55</v>
      </c>
      <c r="AL19">
        <v>5.44</v>
      </c>
      <c r="AN19" s="3">
        <f t="shared" si="8"/>
        <v>5.5033333333333339</v>
      </c>
      <c r="AO19" s="3">
        <f t="shared" si="9"/>
        <v>4.6427960923946777E-2</v>
      </c>
    </row>
    <row r="20" spans="1:41" x14ac:dyDescent="0.3">
      <c r="A20">
        <v>1.6</v>
      </c>
      <c r="B20" s="4">
        <f t="shared" si="0"/>
        <v>6.4</v>
      </c>
      <c r="C20" s="4">
        <f t="shared" si="1"/>
        <v>12.053568</v>
      </c>
      <c r="G20">
        <v>6.32</v>
      </c>
      <c r="I20" s="3">
        <v>4.8</v>
      </c>
      <c r="K20">
        <v>4.92</v>
      </c>
      <c r="M20" s="4">
        <f t="shared" si="2"/>
        <v>5.3466666666666667</v>
      </c>
      <c r="N20" s="4">
        <f t="shared" si="3"/>
        <v>0.68999194842323408</v>
      </c>
      <c r="P20">
        <v>6.29</v>
      </c>
      <c r="R20" s="3">
        <v>6.39</v>
      </c>
      <c r="T20">
        <v>6.14</v>
      </c>
      <c r="V20" s="4">
        <f t="shared" si="4"/>
        <v>6.2733333333333334</v>
      </c>
      <c r="W20" s="4">
        <f t="shared" si="5"/>
        <v>0.10274023338281629</v>
      </c>
      <c r="Y20">
        <v>4.71</v>
      </c>
      <c r="AA20">
        <v>4.72</v>
      </c>
      <c r="AC20" s="3">
        <v>4.7</v>
      </c>
      <c r="AE20" s="3">
        <f t="shared" si="6"/>
        <v>4.71</v>
      </c>
      <c r="AF20" s="3">
        <f t="shared" si="7"/>
        <v>8.164965809277086E-3</v>
      </c>
      <c r="AH20">
        <v>5.47</v>
      </c>
      <c r="AJ20" s="3">
        <v>5.5</v>
      </c>
      <c r="AL20" s="3">
        <v>5.4</v>
      </c>
      <c r="AN20" s="3">
        <f t="shared" si="8"/>
        <v>5.4566666666666661</v>
      </c>
      <c r="AO20" s="3">
        <f t="shared" si="9"/>
        <v>4.1899350299921596E-2</v>
      </c>
    </row>
    <row r="21" spans="1:41" x14ac:dyDescent="0.3">
      <c r="A21">
        <v>1.7</v>
      </c>
      <c r="B21" s="4">
        <f t="shared" si="0"/>
        <v>6.8</v>
      </c>
      <c r="C21" s="4">
        <f t="shared" si="1"/>
        <v>12.806915999999999</v>
      </c>
      <c r="G21">
        <v>6.08</v>
      </c>
      <c r="I21">
        <v>4.7300000000000004</v>
      </c>
      <c r="K21">
        <v>4.8099999999999996</v>
      </c>
      <c r="M21" s="4">
        <f t="shared" si="2"/>
        <v>5.206666666666667</v>
      </c>
      <c r="N21" s="4"/>
      <c r="P21">
        <v>6.29</v>
      </c>
      <c r="R21" s="3">
        <v>6.38</v>
      </c>
      <c r="T21">
        <v>6.11</v>
      </c>
      <c r="V21" s="4">
        <f t="shared" si="4"/>
        <v>6.2600000000000007</v>
      </c>
      <c r="W21" s="4">
        <f t="shared" si="5"/>
        <v>0.11224972160321807</v>
      </c>
      <c r="Y21">
        <v>4.6500000000000004</v>
      </c>
      <c r="AA21">
        <v>4.66</v>
      </c>
      <c r="AC21">
        <v>4.63</v>
      </c>
      <c r="AE21" s="3">
        <f t="shared" si="6"/>
        <v>4.6466666666666674</v>
      </c>
      <c r="AF21" s="3">
        <f t="shared" si="7"/>
        <v>1.2472191289246601E-2</v>
      </c>
      <c r="AH21">
        <v>5.43</v>
      </c>
      <c r="AJ21">
        <v>5.46</v>
      </c>
      <c r="AL21">
        <v>5.37</v>
      </c>
      <c r="AN21">
        <f t="shared" si="8"/>
        <v>5.4200000000000008</v>
      </c>
      <c r="AO21" s="3">
        <f t="shared" si="9"/>
        <v>3.7416573867739326E-2</v>
      </c>
    </row>
    <row r="22" spans="1:41" x14ac:dyDescent="0.3">
      <c r="A22">
        <v>1.8</v>
      </c>
      <c r="B22" s="4">
        <f t="shared" si="0"/>
        <v>7.2</v>
      </c>
      <c r="C22" s="4">
        <f t="shared" si="1"/>
        <v>13.560264</v>
      </c>
      <c r="I22">
        <v>4.46</v>
      </c>
      <c r="K22" s="3">
        <v>4.4000000000000004</v>
      </c>
      <c r="M22" s="4">
        <f t="shared" ref="M22:M29" si="10">(I22+K22)/2</f>
        <v>4.43</v>
      </c>
      <c r="P22">
        <v>6.28</v>
      </c>
      <c r="R22" s="3">
        <v>6.37</v>
      </c>
      <c r="T22">
        <v>6.08</v>
      </c>
      <c r="V22" s="4">
        <f t="shared" si="4"/>
        <v>6.2433333333333332</v>
      </c>
      <c r="W22" s="4">
        <f t="shared" si="5"/>
        <v>0.12119772641798564</v>
      </c>
      <c r="Y22">
        <v>4.58</v>
      </c>
      <c r="AA22">
        <v>4.58</v>
      </c>
      <c r="AC22">
        <v>4.5599999999999996</v>
      </c>
      <c r="AE22" s="3">
        <f t="shared" si="6"/>
        <v>4.5733333333333333</v>
      </c>
      <c r="AF22" s="3">
        <f t="shared" si="7"/>
        <v>9.4280904158208518E-3</v>
      </c>
      <c r="AH22">
        <v>5.39</v>
      </c>
      <c r="AJ22">
        <v>5.38</v>
      </c>
      <c r="AL22">
        <v>5.33</v>
      </c>
      <c r="AN22" s="3">
        <f t="shared" si="8"/>
        <v>5.3666666666666671</v>
      </c>
      <c r="AO22" s="3">
        <f t="shared" si="9"/>
        <v>2.6246692913372557E-2</v>
      </c>
    </row>
    <row r="23" spans="1:41" x14ac:dyDescent="0.3">
      <c r="A23">
        <v>1.9</v>
      </c>
      <c r="B23" s="4">
        <f t="shared" si="0"/>
        <v>7.6</v>
      </c>
      <c r="C23" s="4">
        <f t="shared" si="1"/>
        <v>14.313611999999999</v>
      </c>
      <c r="I23">
        <v>4.42</v>
      </c>
      <c r="K23">
        <v>4.2699999999999996</v>
      </c>
      <c r="M23" s="4">
        <f t="shared" si="10"/>
        <v>4.3449999999999998</v>
      </c>
      <c r="P23">
        <v>6.25</v>
      </c>
      <c r="R23" s="3">
        <v>6.36</v>
      </c>
      <c r="T23">
        <v>6.04</v>
      </c>
      <c r="V23" s="4">
        <f t="shared" si="4"/>
        <v>6.2166666666666659</v>
      </c>
      <c r="W23" s="4">
        <f t="shared" si="5"/>
        <v>0.1327487183449326</v>
      </c>
      <c r="Y23" s="3">
        <v>4.5</v>
      </c>
      <c r="AA23">
        <v>4.5199999999999996</v>
      </c>
      <c r="AC23">
        <v>4.49</v>
      </c>
      <c r="AE23" s="3">
        <f t="shared" si="6"/>
        <v>4.503333333333333</v>
      </c>
      <c r="AF23" s="3">
        <f t="shared" si="7"/>
        <v>1.2472191289246206E-2</v>
      </c>
      <c r="AH23">
        <v>5.35</v>
      </c>
      <c r="AJ23">
        <v>5.33</v>
      </c>
      <c r="AL23" s="3">
        <v>5.3</v>
      </c>
      <c r="AN23" s="3">
        <f t="shared" si="8"/>
        <v>5.3266666666666671</v>
      </c>
      <c r="AO23" s="3">
        <f t="shared" si="9"/>
        <v>2.0548046676563202E-2</v>
      </c>
    </row>
    <row r="24" spans="1:41" x14ac:dyDescent="0.3">
      <c r="A24" s="4">
        <v>2</v>
      </c>
      <c r="B24" s="4">
        <f t="shared" si="0"/>
        <v>8</v>
      </c>
      <c r="C24" s="4">
        <f t="shared" si="1"/>
        <v>15.06696</v>
      </c>
      <c r="D24" s="4"/>
      <c r="E24" s="4"/>
      <c r="I24">
        <v>4.3899999999999997</v>
      </c>
      <c r="K24">
        <v>4.1900000000000004</v>
      </c>
      <c r="M24" s="4">
        <f t="shared" si="10"/>
        <v>4.29</v>
      </c>
      <c r="P24">
        <v>6.23</v>
      </c>
      <c r="R24" s="3">
        <v>6.34</v>
      </c>
      <c r="T24" s="3">
        <v>6</v>
      </c>
      <c r="V24" s="4">
        <f t="shared" si="4"/>
        <v>6.19</v>
      </c>
      <c r="W24" s="4">
        <f t="shared" si="5"/>
        <v>0.1416568624058385</v>
      </c>
      <c r="Y24">
        <v>4.43</v>
      </c>
      <c r="AA24">
        <v>4.43</v>
      </c>
      <c r="AC24">
        <v>4.42</v>
      </c>
      <c r="AE24" s="3">
        <f t="shared" si="6"/>
        <v>4.4266666666666667</v>
      </c>
      <c r="AF24" s="3">
        <f t="shared" si="7"/>
        <v>4.714045207910216E-3</v>
      </c>
      <c r="AH24">
        <v>5.32</v>
      </c>
      <c r="AJ24">
        <v>5.29</v>
      </c>
      <c r="AL24">
        <v>5.27</v>
      </c>
      <c r="AN24" s="3">
        <f t="shared" si="8"/>
        <v>5.293333333333333</v>
      </c>
      <c r="AO24" s="3">
        <f t="shared" si="9"/>
        <v>2.0548046676563538E-2</v>
      </c>
    </row>
    <row r="25" spans="1:41" x14ac:dyDescent="0.3">
      <c r="A25">
        <v>2.1</v>
      </c>
      <c r="B25" s="4">
        <f t="shared" si="0"/>
        <v>8.4</v>
      </c>
      <c r="C25" s="4">
        <f t="shared" si="1"/>
        <v>15.820308000000001</v>
      </c>
      <c r="I25">
        <v>4.3499999999999996</v>
      </c>
      <c r="K25">
        <v>4.1100000000000003</v>
      </c>
      <c r="M25" s="4">
        <f t="shared" si="10"/>
        <v>4.2300000000000004</v>
      </c>
      <c r="P25" s="3">
        <v>6.2</v>
      </c>
      <c r="R25" s="3">
        <v>6.34</v>
      </c>
      <c r="T25">
        <v>5.97</v>
      </c>
      <c r="V25" s="4">
        <f t="shared" si="4"/>
        <v>6.169999999999999</v>
      </c>
      <c r="W25" s="4">
        <f t="shared" si="5"/>
        <v>0.15253414918196739</v>
      </c>
      <c r="Y25">
        <v>4.34</v>
      </c>
      <c r="AA25">
        <v>4.3499999999999996</v>
      </c>
      <c r="AC25">
        <v>4.34</v>
      </c>
      <c r="AE25" s="3">
        <f t="shared" si="6"/>
        <v>4.3433333333333328</v>
      </c>
      <c r="AF25" s="3">
        <f t="shared" si="7"/>
        <v>4.714045207910216E-3</v>
      </c>
      <c r="AH25">
        <v>5.28</v>
      </c>
      <c r="AJ25">
        <v>5.27</v>
      </c>
      <c r="AL25">
        <v>5.24</v>
      </c>
      <c r="AN25" s="3">
        <f t="shared" si="8"/>
        <v>5.2633333333333336</v>
      </c>
      <c r="AO25" s="3">
        <f t="shared" si="9"/>
        <v>1.6996731711975879E-2</v>
      </c>
    </row>
    <row r="26" spans="1:41" x14ac:dyDescent="0.3">
      <c r="A26">
        <v>2.2000000000000002</v>
      </c>
      <c r="B26" s="4">
        <f t="shared" si="0"/>
        <v>8.8000000000000007</v>
      </c>
      <c r="C26" s="4">
        <f t="shared" si="1"/>
        <v>16.573656</v>
      </c>
      <c r="I26">
        <v>4.3099999999999996</v>
      </c>
      <c r="K26" s="3">
        <v>4</v>
      </c>
      <c r="M26" s="4">
        <f t="shared" si="10"/>
        <v>4.1549999999999994</v>
      </c>
      <c r="P26">
        <v>6.16</v>
      </c>
      <c r="R26" s="3">
        <v>6.33</v>
      </c>
      <c r="T26">
        <v>5.93</v>
      </c>
      <c r="V26" s="4">
        <f>(P26+R26+T26)/3</f>
        <v>6.1400000000000006</v>
      </c>
      <c r="W26" s="4">
        <f t="shared" si="5"/>
        <v>0.16391054470859012</v>
      </c>
      <c r="Y26">
        <v>4.25</v>
      </c>
      <c r="AA26">
        <v>4.26</v>
      </c>
      <c r="AC26">
        <v>4.25</v>
      </c>
      <c r="AE26" s="3">
        <f t="shared" si="6"/>
        <v>4.253333333333333</v>
      </c>
      <c r="AF26" s="3">
        <f t="shared" si="7"/>
        <v>4.714045207910216E-3</v>
      </c>
      <c r="AH26">
        <v>5.25</v>
      </c>
      <c r="AJ26">
        <v>5.24</v>
      </c>
      <c r="AL26">
        <v>5.21</v>
      </c>
      <c r="AN26" s="3">
        <f t="shared" si="8"/>
        <v>5.2333333333333334</v>
      </c>
      <c r="AO26" s="3">
        <f t="shared" si="9"/>
        <v>1.6996731711975993E-2</v>
      </c>
    </row>
    <row r="27" spans="1:41" x14ac:dyDescent="0.3">
      <c r="A27">
        <v>2.2999999999999998</v>
      </c>
      <c r="B27" s="4">
        <f t="shared" si="0"/>
        <v>9.1999999999999993</v>
      </c>
      <c r="C27" s="4">
        <f t="shared" si="1"/>
        <v>17.327003999999999</v>
      </c>
      <c r="I27">
        <v>4.2699999999999996</v>
      </c>
      <c r="K27">
        <v>3.88</v>
      </c>
      <c r="M27" s="4">
        <f t="shared" si="10"/>
        <v>4.0749999999999993</v>
      </c>
      <c r="P27">
        <v>6.15</v>
      </c>
      <c r="R27" s="3">
        <v>6.32</v>
      </c>
      <c r="T27">
        <v>5.88</v>
      </c>
      <c r="V27" s="4">
        <f t="shared" si="4"/>
        <v>6.1166666666666671</v>
      </c>
      <c r="W27" s="4">
        <f t="shared" si="5"/>
        <v>0.18116904322268274</v>
      </c>
      <c r="Y27">
        <v>4.1500000000000004</v>
      </c>
      <c r="AA27">
        <v>4.17</v>
      </c>
      <c r="AC27">
        <v>4.1399999999999997</v>
      </c>
      <c r="AE27" s="3">
        <f t="shared" si="6"/>
        <v>4.1533333333333333</v>
      </c>
      <c r="AF27" s="3">
        <f t="shared" si="7"/>
        <v>1.2472191289246521E-2</v>
      </c>
      <c r="AH27">
        <v>5.22</v>
      </c>
      <c r="AJ27">
        <v>5.22</v>
      </c>
      <c r="AL27" s="3">
        <v>5.2</v>
      </c>
      <c r="AN27" s="3">
        <f t="shared" si="8"/>
        <v>5.2133333333333338</v>
      </c>
      <c r="AO27" s="3">
        <f t="shared" si="9"/>
        <v>9.428090415820432E-3</v>
      </c>
    </row>
    <row r="28" spans="1:41" x14ac:dyDescent="0.3">
      <c r="A28">
        <v>2.4</v>
      </c>
      <c r="B28" s="4">
        <f t="shared" si="0"/>
        <v>9.6</v>
      </c>
      <c r="C28" s="4">
        <f t="shared" si="1"/>
        <v>18.080351999999998</v>
      </c>
      <c r="I28">
        <v>4.22</v>
      </c>
      <c r="K28">
        <v>3.77</v>
      </c>
      <c r="M28" s="4">
        <f t="shared" si="10"/>
        <v>3.9950000000000001</v>
      </c>
      <c r="P28">
        <v>6.14</v>
      </c>
      <c r="R28" s="3">
        <v>6.31</v>
      </c>
      <c r="T28">
        <v>5.85</v>
      </c>
      <c r="V28">
        <f t="shared" si="4"/>
        <v>6.0999999999999988</v>
      </c>
      <c r="W28" s="4">
        <f t="shared" si="5"/>
        <v>0.18991226044325485</v>
      </c>
      <c r="Y28">
        <v>4.04</v>
      </c>
      <c r="AA28">
        <v>4.07</v>
      </c>
      <c r="AC28">
        <v>4.05</v>
      </c>
      <c r="AE28" s="3">
        <f t="shared" si="6"/>
        <v>4.0533333333333337</v>
      </c>
      <c r="AF28" s="3">
        <f t="shared" si="7"/>
        <v>1.2472191289246601E-2</v>
      </c>
      <c r="AH28">
        <v>5.19</v>
      </c>
      <c r="AJ28" s="3">
        <v>5.2</v>
      </c>
      <c r="AL28">
        <v>5.18</v>
      </c>
      <c r="AN28">
        <f t="shared" si="8"/>
        <v>5.19</v>
      </c>
      <c r="AO28" s="3">
        <f t="shared" si="9"/>
        <v>8.1649658092774486E-3</v>
      </c>
    </row>
    <row r="29" spans="1:41" x14ac:dyDescent="0.3">
      <c r="A29">
        <v>2.5</v>
      </c>
      <c r="B29" s="4">
        <f t="shared" si="0"/>
        <v>10</v>
      </c>
      <c r="C29" s="4">
        <f t="shared" si="1"/>
        <v>18.8337</v>
      </c>
      <c r="I29">
        <v>4.0999999999999996</v>
      </c>
      <c r="K29">
        <v>3.71</v>
      </c>
      <c r="M29" s="4">
        <f t="shared" si="10"/>
        <v>3.9049999999999998</v>
      </c>
      <c r="P29">
        <v>6.13</v>
      </c>
      <c r="R29" s="3">
        <v>6.31</v>
      </c>
      <c r="T29">
        <v>5.81</v>
      </c>
      <c r="V29" s="4">
        <f t="shared" si="4"/>
        <v>6.083333333333333</v>
      </c>
      <c r="W29" s="4">
        <f t="shared" si="5"/>
        <v>0.20677416559027767</v>
      </c>
      <c r="Y29">
        <v>3.91</v>
      </c>
      <c r="AA29">
        <v>3.94</v>
      </c>
      <c r="AC29">
        <v>3.93</v>
      </c>
      <c r="AE29" s="3">
        <f t="shared" si="6"/>
        <v>3.9266666666666663</v>
      </c>
      <c r="AF29" s="3">
        <f t="shared" si="7"/>
        <v>1.2472191289246403E-2</v>
      </c>
      <c r="AH29">
        <v>5.16</v>
      </c>
      <c r="AJ29">
        <v>5.17</v>
      </c>
      <c r="AL29">
        <v>5.15</v>
      </c>
      <c r="AN29">
        <f t="shared" si="8"/>
        <v>5.16</v>
      </c>
      <c r="AO29" s="3">
        <f t="shared" si="9"/>
        <v>8.164965809277086E-3</v>
      </c>
    </row>
    <row r="30" spans="1:41" x14ac:dyDescent="0.3">
      <c r="A30">
        <v>2.6</v>
      </c>
      <c r="B30" s="4">
        <f t="shared" si="0"/>
        <v>10.4</v>
      </c>
      <c r="C30" s="4">
        <f t="shared" si="1"/>
        <v>19.587047999999999</v>
      </c>
      <c r="R30" s="3">
        <v>6.3</v>
      </c>
    </row>
    <row r="31" spans="1:41" x14ac:dyDescent="0.3">
      <c r="A31">
        <v>2.7</v>
      </c>
      <c r="B31" s="4">
        <f t="shared" si="0"/>
        <v>10.8</v>
      </c>
      <c r="C31" s="4">
        <f t="shared" si="1"/>
        <v>20.340396000000002</v>
      </c>
      <c r="R31" s="3">
        <v>6.29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Data overview</vt:lpstr>
      <vt:lpstr>Raw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Mikael Løvig Larsen</dc:creator>
  <cp:keywords/>
  <dc:description/>
  <cp:lastModifiedBy>Mikael Løvig Larsen</cp:lastModifiedBy>
  <cp:revision/>
  <dcterms:created xsi:type="dcterms:W3CDTF">2015-06-05T18:19:34Z</dcterms:created>
  <dcterms:modified xsi:type="dcterms:W3CDTF">2026-03-08T15:01:31Z</dcterms:modified>
  <cp:category/>
  <cp:contentStatus/>
</cp:coreProperties>
</file>