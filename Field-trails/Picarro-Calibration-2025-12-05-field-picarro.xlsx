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filterPrivacy="1"/>
  <xr:revisionPtr revIDLastSave="0" documentId="13_ncr:1_{6F1C34D1-6240-4CB9-81F4-C657C409D0C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 (2)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2" l="1"/>
  <c r="C13" i="2"/>
  <c r="E6" i="2"/>
  <c r="E5" i="2"/>
  <c r="E9" i="2"/>
  <c r="E8" i="2"/>
  <c r="E7" i="2"/>
  <c r="E3" i="2"/>
</calcChain>
</file>

<file path=xl/sharedStrings.xml><?xml version="1.0" encoding="utf-8"?>
<sst xmlns="http://schemas.openxmlformats.org/spreadsheetml/2006/main" count="30" uniqueCount="16">
  <si>
    <t>Air flow</t>
  </si>
  <si>
    <t>NH3 Flow</t>
  </si>
  <si>
    <t>Expected concentration</t>
  </si>
  <si>
    <t>Measured Concentration</t>
  </si>
  <si>
    <t>MFC#</t>
  </si>
  <si>
    <t>Air (l/min) MFC</t>
  </si>
  <si>
    <t>NH3 (l/min) MFC</t>
  </si>
  <si>
    <t>NH3 (ppb)</t>
  </si>
  <si>
    <t>time start</t>
  </si>
  <si>
    <t>time stop</t>
  </si>
  <si>
    <t>C NH3 in cylinder (ppb)</t>
  </si>
  <si>
    <t>10 l/min</t>
  </si>
  <si>
    <t>1000 ml/min</t>
  </si>
  <si>
    <t>IAQ1</t>
  </si>
  <si>
    <t>AQ19</t>
  </si>
  <si>
    <t>Time (hh:mm) PICARRO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</si>
</sst>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;@"/>
    <numFmt numFmtId="165" formatCode="0.000"/>
    <numFmt numFmtId="166" formatCode="0.0"/>
  </numFmts>
  <fonts count="3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4" borderId="0" xfId="0" applyFill="1"/>
    <xf numFmtId="166" fontId="0" fillId="0" borderId="0" xfId="0" applyNumberFormat="1"/>
    <xf numFmtId="0" fontId="0" fillId="5" borderId="1" xfId="0" applyFill="1" applyBorder="1"/>
    <xf numFmtId="0" fontId="0" fillId="5" borderId="0" xfId="0" applyFill="1"/>
    <xf numFmtId="0" fontId="0" fillId="6" borderId="1" xfId="0" applyFill="1" applyBorder="1"/>
    <xf numFmtId="0" fontId="0" fillId="6" borderId="0" xfId="0" applyFill="1"/>
    <xf numFmtId="164" fontId="0" fillId="6" borderId="0" xfId="0" applyNumberFormat="1" applyFill="1"/>
    <xf numFmtId="0" fontId="1" fillId="2" borderId="1" xfId="0" applyFont="1" applyFill="1" applyBorder="1"/>
    <xf numFmtId="0" fontId="1" fillId="5" borderId="1" xfId="0" applyFont="1" applyFill="1" applyBorder="1"/>
    <xf numFmtId="0" fontId="1" fillId="3" borderId="1" xfId="0" applyFont="1" applyFill="1" applyBorder="1"/>
    <xf numFmtId="0" fontId="1" fillId="6" borderId="1" xfId="0" applyFont="1" applyFill="1" applyBorder="1"/>
    <xf numFmtId="165" fontId="0" fillId="6" borderId="0" xfId="0" applyNumberFormat="1" applyFill="1"/>
    <xf numFmtId="20" fontId="0" fillId="0" borderId="0" xfId="0" applyNumberFormat="1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4292117366196906"/>
                  <c:y val="-5.0628515592298262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K"/>
                </a:p>
              </c:txPr>
            </c:trendlineLbl>
          </c:trendline>
          <c:xVal>
            <c:numRef>
              <c:f>'Sheet1 (2)'!$E$3:$E$9</c:f>
              <c:numCache>
                <c:formatCode>0.0</c:formatCode>
                <c:ptCount val="7"/>
                <c:pt idx="0">
                  <c:v>0</c:v>
                </c:pt>
                <c:pt idx="1">
                  <c:v>243.90243902439028</c:v>
                </c:pt>
                <c:pt idx="2">
                  <c:v>697.67441860465124</c:v>
                </c:pt>
                <c:pt idx="3">
                  <c:v>1011.2359550561797</c:v>
                </c:pt>
                <c:pt idx="4">
                  <c:v>1578.9473684210527</c:v>
                </c:pt>
                <c:pt idx="5">
                  <c:v>2000</c:v>
                </c:pt>
                <c:pt idx="6">
                  <c:v>10000</c:v>
                </c:pt>
              </c:numCache>
            </c:numRef>
          </c:xVal>
          <c:yVal>
            <c:numRef>
              <c:f>'Sheet1 (2)'!$F$3:$F$9</c:f>
              <c:numCache>
                <c:formatCode>0.00</c:formatCode>
                <c:ptCount val="7"/>
                <c:pt idx="0">
                  <c:v>1.2210000000000001</c:v>
                </c:pt>
                <c:pt idx="1">
                  <c:v>244.70400000000001</c:v>
                </c:pt>
                <c:pt idx="2">
                  <c:v>665.30799999999999</c:v>
                </c:pt>
                <c:pt idx="3">
                  <c:v>951.33399999999995</c:v>
                </c:pt>
                <c:pt idx="4">
                  <c:v>1480.23</c:v>
                </c:pt>
                <c:pt idx="5">
                  <c:v>1841.5419999999999</c:v>
                </c:pt>
                <c:pt idx="6">
                  <c:v>8919.9860000000008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111-4176-976E-72E13853EF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9645920"/>
        <c:axId val="559646400"/>
      </c:scatterChart>
      <c:valAx>
        <c:axId val="559645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Expected</a:t>
                </a:r>
                <a:r>
                  <a:rPr lang="it-IT" baseline="0"/>
                  <a:t> conc ppb</a:t>
                </a:r>
                <a:endParaRPr lang="en-D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59646400"/>
        <c:crosses val="autoZero"/>
        <c:crossBetween val="midCat"/>
      </c:valAx>
      <c:valAx>
        <c:axId val="55964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Measured</a:t>
                </a:r>
                <a:r>
                  <a:rPr lang="it-IT" baseline="0"/>
                  <a:t> conc ppb</a:t>
                </a:r>
                <a:endParaRPr lang="en-D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596459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2345174323103394"/>
                  <c:y val="0.2695124646696677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K"/>
                </a:p>
              </c:txPr>
            </c:trendlineLbl>
          </c:trendline>
          <c:xVal>
            <c:numRef>
              <c:f>'Sheet1 (2)'!$E$3:$E$8</c:f>
              <c:numCache>
                <c:formatCode>0.0</c:formatCode>
                <c:ptCount val="6"/>
                <c:pt idx="0">
                  <c:v>0</c:v>
                </c:pt>
                <c:pt idx="1">
                  <c:v>243.90243902439028</c:v>
                </c:pt>
                <c:pt idx="2">
                  <c:v>697.67441860465124</c:v>
                </c:pt>
                <c:pt idx="3">
                  <c:v>1011.2359550561797</c:v>
                </c:pt>
                <c:pt idx="4">
                  <c:v>1578.9473684210527</c:v>
                </c:pt>
                <c:pt idx="5">
                  <c:v>2000</c:v>
                </c:pt>
              </c:numCache>
            </c:numRef>
          </c:xVal>
          <c:yVal>
            <c:numRef>
              <c:f>'Sheet1 (2)'!$F$3:$F$8</c:f>
              <c:numCache>
                <c:formatCode>0.00</c:formatCode>
                <c:ptCount val="6"/>
                <c:pt idx="0">
                  <c:v>1.2210000000000001</c:v>
                </c:pt>
                <c:pt idx="1">
                  <c:v>244.70400000000001</c:v>
                </c:pt>
                <c:pt idx="2">
                  <c:v>665.30799999999999</c:v>
                </c:pt>
                <c:pt idx="3">
                  <c:v>951.33399999999995</c:v>
                </c:pt>
                <c:pt idx="4">
                  <c:v>1480.23</c:v>
                </c:pt>
                <c:pt idx="5">
                  <c:v>1841.5419999999999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65E-4AC3-9E12-DEA89EFE1F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9645920"/>
        <c:axId val="559646400"/>
      </c:scatterChart>
      <c:valAx>
        <c:axId val="559645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Expected</a:t>
                </a:r>
                <a:r>
                  <a:rPr lang="it-IT" baseline="0"/>
                  <a:t> conc ppb</a:t>
                </a:r>
                <a:endParaRPr lang="en-D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59646400"/>
        <c:crosses val="autoZero"/>
        <c:crossBetween val="midCat"/>
      </c:valAx>
      <c:valAx>
        <c:axId val="55964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Measured</a:t>
                </a:r>
                <a:r>
                  <a:rPr lang="it-IT" baseline="0"/>
                  <a:t> conc ppb</a:t>
                </a:r>
                <a:endParaRPr lang="en-D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596459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1385101</xdr:colOff>
      <xdr:row>12</xdr:row>
      <xdr:rowOff>90852</xdr:rowOff>
    </xdr:from>
    <xdr:to>
      <xdr:col>7</xdr:col>
      <xdr:colOff>227146</xdr:colOff>
      <xdr:row>25</xdr:row>
      <xdr:rowOff>24843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FFB094-E8F2-4861-BF92-FC73D3ED93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1251184</xdr:colOff>
      <xdr:row>26</xdr:row>
      <xdr:rowOff>47037</xdr:rowOff>
    </xdr:from>
    <xdr:to>
      <xdr:col>7</xdr:col>
      <xdr:colOff>93229</xdr:colOff>
      <xdr:row>38</xdr:row>
      <xdr:rowOff>159769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456271E-CE73-4513-99A0-217195D623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26081-2711-4C45-BA43-CD7F10063201}">
  <dimension ref="A1:H21"/>
  <sheetViews>
    <sheetView tabSelected="1" zoomScale="81" workbookViewId="0">
      <selection activeCell="D12" sqref="D12"/>
    </sheetView>
  </sheetViews>
  <sheetFormatPr defaultColWidth="17.33203125" defaultRowHeight="14.4" x14ac:dyDescent="0.3"/>
  <cols>
    <col min="2" max="2" width="20" customWidth="1"/>
    <col min="4" max="4" width="19.33203125" customWidth="1"/>
    <col min="5" max="5" width="20.21875" bestFit="1" customWidth="1"/>
    <col min="6" max="6" width="42.21875" customWidth="1"/>
  </cols>
  <sheetData>
    <row r="1" spans="1:8" x14ac:dyDescent="0.3">
      <c r="A1" s="19" t="s">
        <v>0</v>
      </c>
      <c r="B1" s="19"/>
      <c r="C1" s="20" t="s">
        <v>1</v>
      </c>
      <c r="D1" s="20"/>
      <c r="E1" t="s">
        <v>2</v>
      </c>
      <c r="F1" t="s">
        <v>3</v>
      </c>
      <c r="G1" s="21" t="s">
        <v>15</v>
      </c>
      <c r="H1" s="21"/>
    </row>
    <row r="2" spans="1:8" x14ac:dyDescent="0.3">
      <c r="A2" s="1" t="s">
        <v>4</v>
      </c>
      <c r="B2" s="1" t="s">
        <v>5</v>
      </c>
      <c r="C2" s="2" t="s">
        <v>4</v>
      </c>
      <c r="D2" s="2" t="s">
        <v>6</v>
      </c>
      <c r="E2" t="s">
        <v>7</v>
      </c>
      <c r="F2" t="s">
        <v>7</v>
      </c>
      <c r="G2" t="s">
        <v>8</v>
      </c>
      <c r="H2" t="s">
        <v>9</v>
      </c>
    </row>
    <row r="3" spans="1:8" x14ac:dyDescent="0.3">
      <c r="A3" s="1" t="s">
        <v>13</v>
      </c>
      <c r="B3" s="8">
        <v>4</v>
      </c>
      <c r="C3" s="2" t="s">
        <v>14</v>
      </c>
      <c r="D3" s="10">
        <v>0</v>
      </c>
      <c r="E3" s="7">
        <f t="shared" ref="E3:E9" si="0">+$E$12*D3/(B3+D3)</f>
        <v>0</v>
      </c>
      <c r="F3" s="3">
        <v>1.2210000000000001</v>
      </c>
      <c r="G3" s="4">
        <v>0.37152777777777779</v>
      </c>
      <c r="H3" s="4">
        <v>0.38194444444444442</v>
      </c>
    </row>
    <row r="4" spans="1:8" x14ac:dyDescent="0.3">
      <c r="A4" s="1" t="s">
        <v>13</v>
      </c>
      <c r="B4" s="8">
        <v>4</v>
      </c>
      <c r="C4" s="2" t="s">
        <v>14</v>
      </c>
      <c r="D4" s="10">
        <v>0.1</v>
      </c>
      <c r="E4" s="7">
        <f>+$E$12*D4/(B4+D4)</f>
        <v>243.90243902439028</v>
      </c>
      <c r="F4" s="3">
        <v>244.70400000000001</v>
      </c>
      <c r="G4" s="4">
        <v>0.4513888888888889</v>
      </c>
      <c r="H4" s="18">
        <v>0.46180555555555558</v>
      </c>
    </row>
    <row r="5" spans="1:8" x14ac:dyDescent="0.3">
      <c r="A5" s="1" t="s">
        <v>13</v>
      </c>
      <c r="B5" s="8">
        <v>4</v>
      </c>
      <c r="C5" s="2" t="s">
        <v>14</v>
      </c>
      <c r="D5" s="10">
        <v>0.3</v>
      </c>
      <c r="E5" s="7">
        <f t="shared" si="0"/>
        <v>697.67441860465124</v>
      </c>
      <c r="F5" s="3">
        <v>665.30799999999999</v>
      </c>
      <c r="G5" s="4">
        <v>0.44097222222222221</v>
      </c>
      <c r="H5" s="4">
        <v>0.4513888888888889</v>
      </c>
    </row>
    <row r="6" spans="1:8" x14ac:dyDescent="0.3">
      <c r="A6" s="13" t="s">
        <v>13</v>
      </c>
      <c r="B6" s="14">
        <v>4</v>
      </c>
      <c r="C6" s="15" t="s">
        <v>14</v>
      </c>
      <c r="D6" s="16">
        <v>0.45</v>
      </c>
      <c r="E6" s="7">
        <f t="shared" si="0"/>
        <v>1011.2359550561797</v>
      </c>
      <c r="F6" s="3">
        <v>951.33399999999995</v>
      </c>
      <c r="G6" s="4">
        <v>0.42916666666666664</v>
      </c>
      <c r="H6" s="4">
        <v>0.44097222222222221</v>
      </c>
    </row>
    <row r="7" spans="1:8" x14ac:dyDescent="0.3">
      <c r="A7" s="1" t="s">
        <v>13</v>
      </c>
      <c r="B7" s="8">
        <v>4</v>
      </c>
      <c r="C7" s="2" t="s">
        <v>14</v>
      </c>
      <c r="D7" s="10">
        <v>0.75</v>
      </c>
      <c r="E7" s="7">
        <f t="shared" si="0"/>
        <v>1578.9473684210527</v>
      </c>
      <c r="F7" s="3">
        <v>1480.23</v>
      </c>
      <c r="G7" s="4">
        <v>0.40625</v>
      </c>
      <c r="H7" s="4">
        <v>0.41666666666666669</v>
      </c>
    </row>
    <row r="8" spans="1:8" x14ac:dyDescent="0.3">
      <c r="A8" s="1" t="s">
        <v>13</v>
      </c>
      <c r="B8" s="8">
        <v>4</v>
      </c>
      <c r="C8" s="2" t="s">
        <v>14</v>
      </c>
      <c r="D8" s="10">
        <v>1</v>
      </c>
      <c r="E8" s="7">
        <f t="shared" si="0"/>
        <v>2000</v>
      </c>
      <c r="F8" s="3">
        <v>1841.5419999999999</v>
      </c>
      <c r="G8" s="4">
        <v>0.38750000000000001</v>
      </c>
      <c r="H8" s="12">
        <v>0.40625</v>
      </c>
    </row>
    <row r="9" spans="1:8" x14ac:dyDescent="0.3">
      <c r="A9" s="2" t="s">
        <v>14</v>
      </c>
      <c r="B9" s="10">
        <v>0</v>
      </c>
      <c r="C9" s="1" t="s">
        <v>13</v>
      </c>
      <c r="D9" s="8">
        <v>4</v>
      </c>
      <c r="E9" s="7">
        <f t="shared" si="0"/>
        <v>10000</v>
      </c>
      <c r="F9" s="3">
        <v>8919.9860000000008</v>
      </c>
      <c r="G9" s="4">
        <v>0.46875</v>
      </c>
      <c r="H9" s="4">
        <v>0.47916666666666669</v>
      </c>
    </row>
    <row r="10" spans="1:8" x14ac:dyDescent="0.3">
      <c r="G10" s="4"/>
      <c r="H10" s="4"/>
    </row>
    <row r="11" spans="1:8" x14ac:dyDescent="0.3">
      <c r="B11" s="9" t="s">
        <v>11</v>
      </c>
      <c r="G11" s="4"/>
      <c r="H11" s="4"/>
    </row>
    <row r="12" spans="1:8" x14ac:dyDescent="0.3">
      <c r="A12" s="5"/>
      <c r="B12" s="11" t="s">
        <v>12</v>
      </c>
      <c r="C12" s="5">
        <v>1</v>
      </c>
      <c r="D12" s="6" t="s">
        <v>10</v>
      </c>
      <c r="E12" s="6">
        <v>10000</v>
      </c>
    </row>
    <row r="13" spans="1:8" x14ac:dyDescent="0.3">
      <c r="C13">
        <f>+C12*0.1</f>
        <v>0.1</v>
      </c>
    </row>
    <row r="19" spans="1:5" x14ac:dyDescent="0.3">
      <c r="A19" s="5"/>
      <c r="B19" s="11"/>
      <c r="C19" s="17"/>
      <c r="D19" s="11"/>
      <c r="E19" s="11"/>
    </row>
    <row r="20" spans="1:5" x14ac:dyDescent="0.3">
      <c r="B20" s="11"/>
      <c r="C20" s="11"/>
      <c r="D20" s="11"/>
      <c r="E20" s="11"/>
    </row>
    <row r="21" spans="1:5" x14ac:dyDescent="0.3">
      <c r="B21" s="11"/>
      <c r="C21" s="11"/>
      <c r="D21" s="11"/>
      <c r="E21" s="11"/>
    </row>
  </sheetData>
  <mergeCells count="3">
    <mergeCell ref="A1:B1"/>
    <mergeCell ref="C1:D1"/>
    <mergeCell ref="G1:H1"/>
  </mergeCells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1D26D-58E6-4B13-B3DA-2DFBBC0E86E2}">
  <dimension ref="A1"/>
  <sheetViews>
    <sheetView workbookViewId="0"/>
  </sheetViews>
  <sheetFormatPr defaultRowHeight="14.4" x14ac:dyDescent="0.3"/>
  <sheetData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TemplafyTemplateConfiguration><![CDATA[{"transformationConfigurations":[],"templateName":"blankspreadsheet","templateDescription":"","enableDocumentContentUpdater":false,"version":"2.0"}]]></TemplafyTemplateConfiguration>
</file>

<file path=customXml/item2.xml><?xml version="1.0" encoding="utf-8"?>
<TemplafyFormConfiguration><![CDATA[{"formFields":[],"formDataEntries":[]}]]></TemplafyFormConfiguration>
</file>

<file path=customXml/itemProps1.xml><?xml version="1.0" encoding="utf-8"?>
<ds:datastoreItem xmlns:ds="http://schemas.openxmlformats.org/officeDocument/2006/customXml" ds:itemID="{7408D0D6-C97A-426B-8466-DDDAA7A3F420}">
  <ds:schemaRefs/>
</ds:datastoreItem>
</file>

<file path=customXml/itemProps2.xml><?xml version="1.0" encoding="utf-8"?>
<ds:datastoreItem xmlns:ds="http://schemas.openxmlformats.org/officeDocument/2006/customXml" ds:itemID="{613AEFFE-C095-42A7-A0AC-5564FFC1D197}">
  <ds:schemaRefs/>
</ds:datastoreItem>
</file>

<file path=docMetadata/LabelInfo.xml><?xml version="1.0" encoding="utf-8"?>
<clbl:labelList xmlns:clbl="http://schemas.microsoft.com/office/2020/mipLabelMetadata">
  <clbl:label id="{61fd1d36-fecb-47ca-b7d7-d0df0370a198}" enabled="0" method="" siteId="{61fd1d36-fecb-47ca-b7d7-d0df0370a19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 (2)</vt:lpstr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1</cp:revision>
  <dcterms:created xsi:type="dcterms:W3CDTF">2025-11-23T10:52:02Z</dcterms:created>
  <dcterms:modified xsi:type="dcterms:W3CDTF">2026-02-11T12:16:15Z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emplafyTenantId">
    <vt:lpwstr>auoffice</vt:lpwstr>
  </property>
  <property fmtid="{D5CDD505-2E9C-101B-9397-08002B2CF9AE}" pid="3" name="TemplafyTemplateId">
    <vt:lpwstr>1054884838842826804</vt:lpwstr>
  </property>
  <property fmtid="{D5CDD505-2E9C-101B-9397-08002B2CF9AE}" pid="4" name="TemplafyUserProfileId">
    <vt:lpwstr>1323618125924795208</vt:lpwstr>
  </property>
  <property fmtid="{D5CDD505-2E9C-101B-9397-08002B2CF9AE}" pid="5" name="TemplafyFromBlank">
    <vt:bool>true</vt:bool>
  </property>
</Properties>
</file>