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all field trails\"/>
    </mc:Choice>
  </mc:AlternateContent>
  <xr:revisionPtr revIDLastSave="0" documentId="13_ncr:1_{2ED65D69-9044-4A76-922A-9536CD0F73AB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pH" sheetId="1" r:id="rId1"/>
    <sheet name="DM-meassur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3" i="2"/>
  <c r="I4" i="2"/>
  <c r="I2" i="2"/>
  <c r="H3" i="2"/>
  <c r="H4" i="2"/>
  <c r="F3" i="2"/>
  <c r="F4" i="2"/>
  <c r="F2" i="2"/>
  <c r="H2" i="2" s="1"/>
  <c r="H6" i="1"/>
  <c r="H5" i="1"/>
</calcChain>
</file>

<file path=xl/sharedStrings.xml><?xml version="1.0" encoding="utf-8"?>
<sst xmlns="http://schemas.openxmlformats.org/spreadsheetml/2006/main" count="17" uniqueCount="15">
  <si>
    <t>Info</t>
  </si>
  <si>
    <t>Based on labtest performed by Heidi (lab-technician)</t>
  </si>
  <si>
    <t>Which!</t>
  </si>
  <si>
    <t>pH</t>
  </si>
  <si>
    <t>avd</t>
  </si>
  <si>
    <t>std-dev</t>
  </si>
  <si>
    <t>Number</t>
  </si>
  <si>
    <t>m(alue) [g]</t>
  </si>
  <si>
    <t>m(dirt + alue before) [g]</t>
  </si>
  <si>
    <t>m(dirt before) [g]</t>
  </si>
  <si>
    <t>m(water) [g]</t>
  </si>
  <si>
    <t>m(dirt after) [g]</t>
  </si>
  <si>
    <t>Soil dried in oven at 100 deg C for 24 h</t>
  </si>
  <si>
    <t>wt% water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</si>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</sst>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I10" sqref="I10"/>
    </sheetView>
  </sheetViews>
  <sheetFormatPr defaultRowHeight="14.4" x14ac:dyDescent="0.3"/>
  <sheetData>
    <row r="1" spans="1:8" x14ac:dyDescent="0.3">
      <c r="A1" s="1" t="s">
        <v>0</v>
      </c>
      <c r="H1" t="s">
        <v>3</v>
      </c>
    </row>
    <row r="2" spans="1:8" x14ac:dyDescent="0.3">
      <c r="A2" t="s">
        <v>1</v>
      </c>
      <c r="G2">
        <v>1</v>
      </c>
      <c r="H2">
        <v>5.79</v>
      </c>
    </row>
    <row r="3" spans="1:8" x14ac:dyDescent="0.3">
      <c r="A3" t="s">
        <v>2</v>
      </c>
      <c r="G3">
        <v>2</v>
      </c>
      <c r="H3" s="2">
        <v>5.8</v>
      </c>
    </row>
    <row r="4" spans="1:8" x14ac:dyDescent="0.3">
      <c r="G4">
        <v>3</v>
      </c>
      <c r="H4">
        <v>5.82</v>
      </c>
    </row>
    <row r="5" spans="1:8" x14ac:dyDescent="0.3">
      <c r="G5" t="s">
        <v>4</v>
      </c>
      <c r="H5" s="2">
        <f>(H2+H3+H4)/3</f>
        <v>5.8033333333333337</v>
      </c>
    </row>
    <row r="6" spans="1:8" x14ac:dyDescent="0.3">
      <c r="G6" t="s">
        <v>5</v>
      </c>
      <c r="H6" s="2">
        <f>_xlfn.STDEV.P(H2,H3,H4)</f>
        <v>1.2472191289246601E-2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A5BB-1777-4A36-A094-C0B46E9D4726}">
  <dimension ref="A1:I6"/>
  <sheetViews>
    <sheetView tabSelected="1" workbookViewId="0">
      <selection activeCell="I9" sqref="I9"/>
    </sheetView>
  </sheetViews>
  <sheetFormatPr defaultRowHeight="14.4" x14ac:dyDescent="0.3"/>
  <cols>
    <col min="1" max="1" width="32.5546875" bestFit="1" customWidth="1"/>
    <col min="2" max="3" width="8.88671875" customWidth="1"/>
    <col min="4" max="4" width="10" customWidth="1"/>
    <col min="5" max="5" width="20.5546875" bestFit="1" customWidth="1"/>
    <col min="6" max="6" width="15.109375" bestFit="1" customWidth="1"/>
    <col min="7" max="7" width="13.6640625" bestFit="1" customWidth="1"/>
    <col min="8" max="8" width="11.109375" bestFit="1" customWidth="1"/>
    <col min="9" max="9" width="9.77734375" bestFit="1" customWidth="1"/>
  </cols>
  <sheetData>
    <row r="1" spans="1:9" x14ac:dyDescent="0.3">
      <c r="A1" t="s">
        <v>0</v>
      </c>
      <c r="C1" t="s">
        <v>6</v>
      </c>
      <c r="D1" t="s">
        <v>7</v>
      </c>
      <c r="E1" t="s">
        <v>8</v>
      </c>
      <c r="F1" t="s">
        <v>9</v>
      </c>
      <c r="G1" t="s">
        <v>11</v>
      </c>
      <c r="H1" t="s">
        <v>10</v>
      </c>
      <c r="I1" t="s">
        <v>13</v>
      </c>
    </row>
    <row r="2" spans="1:9" x14ac:dyDescent="0.3">
      <c r="A2" t="s">
        <v>12</v>
      </c>
      <c r="C2">
        <v>1</v>
      </c>
      <c r="D2">
        <v>8.5</v>
      </c>
      <c r="E2" s="3">
        <v>196</v>
      </c>
      <c r="F2" s="3">
        <f>E2-D2</f>
        <v>187.5</v>
      </c>
      <c r="G2" s="3">
        <v>162</v>
      </c>
      <c r="H2" s="3">
        <f>F2-G2</f>
        <v>25.5</v>
      </c>
      <c r="I2">
        <f>H2/F2*100</f>
        <v>13.600000000000001</v>
      </c>
    </row>
    <row r="3" spans="1:9" x14ac:dyDescent="0.3">
      <c r="C3">
        <v>2</v>
      </c>
      <c r="D3">
        <v>8.5</v>
      </c>
      <c r="E3">
        <v>173.5</v>
      </c>
      <c r="F3" s="3">
        <f t="shared" ref="F3:F4" si="0">E3-D3</f>
        <v>165</v>
      </c>
      <c r="G3" s="3">
        <v>141</v>
      </c>
      <c r="H3" s="3">
        <f t="shared" ref="H3:H4" si="1">F3-G3</f>
        <v>24</v>
      </c>
      <c r="I3" s="3">
        <f t="shared" ref="I3:I4" si="2">H3/F3*100</f>
        <v>14.545454545454545</v>
      </c>
    </row>
    <row r="4" spans="1:9" x14ac:dyDescent="0.3">
      <c r="C4">
        <v>3</v>
      </c>
      <c r="D4">
        <v>8.5</v>
      </c>
      <c r="E4" s="3">
        <v>183</v>
      </c>
      <c r="F4" s="3">
        <f t="shared" si="0"/>
        <v>174.5</v>
      </c>
      <c r="G4">
        <v>147.5</v>
      </c>
      <c r="H4" s="3">
        <f t="shared" si="1"/>
        <v>27</v>
      </c>
      <c r="I4" s="3">
        <f t="shared" si="2"/>
        <v>15.472779369627506</v>
      </c>
    </row>
    <row r="5" spans="1:9" x14ac:dyDescent="0.3">
      <c r="C5" t="s">
        <v>14</v>
      </c>
      <c r="I5" s="3">
        <f>(I2+I3+I4)/3</f>
        <v>14.539411305027352</v>
      </c>
    </row>
    <row r="6" spans="1:9" x14ac:dyDescent="0.3">
      <c r="C6" t="s">
        <v>5</v>
      </c>
      <c r="I6" s="3">
        <f>_xlfn.STDEV.P(I2,I3,I4)</f>
        <v>0.76457091774482433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</vt:lpstr>
      <vt:lpstr>DM-meassurement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2025-10-29T14:39:36Z</dcterms:modified>
</cp:coreProperties>
</file>