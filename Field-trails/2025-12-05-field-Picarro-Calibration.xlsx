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4029C68D-96A3-43DE-87EE-6A0DA06EF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3" i="2"/>
  <c r="E13" i="2"/>
  <c r="E3" i="2"/>
  <c r="E4" i="2"/>
  <c r="C13" i="2"/>
  <c r="E6" i="2"/>
  <c r="E5" i="2"/>
  <c r="E9" i="2"/>
  <c r="E8" i="2"/>
  <c r="E7" i="2"/>
</calcChain>
</file>

<file path=xl/sharedStrings.xml><?xml version="1.0" encoding="utf-8"?>
<sst xmlns="http://schemas.openxmlformats.org/spreadsheetml/2006/main" count="33" uniqueCount="18">
  <si>
    <t>Air flow</t>
  </si>
  <si>
    <t>NH3 Flow</t>
  </si>
  <si>
    <t>Measured Concentration</t>
  </si>
  <si>
    <t>MFC#</t>
  </si>
  <si>
    <t>Air (l/min) MFC</t>
  </si>
  <si>
    <t>NH3 (l/min) MFC</t>
  </si>
  <si>
    <t>NH3 (ppb)</t>
  </si>
  <si>
    <t>time start</t>
  </si>
  <si>
    <t>time stop</t>
  </si>
  <si>
    <t>C NH3 in cylinder (ppb)</t>
  </si>
  <si>
    <t>10 l/min</t>
  </si>
  <si>
    <t>1000 ml/min</t>
  </si>
  <si>
    <t>IAQ1</t>
  </si>
  <si>
    <t>AQ19</t>
  </si>
  <si>
    <t>Time (hh:mm) PICARRO</t>
  </si>
  <si>
    <t>C Nh3 cylinder (ppb)</t>
  </si>
  <si>
    <t>Expected concentration -theoretical cylinder c</t>
  </si>
  <si>
    <t>Expected - measured cylinder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</si>
</sst>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6" fontId="0" fillId="0" borderId="0" xfId="0" applyNumberFormat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164" fontId="0" fillId="6" borderId="0" xfId="0" applyNumberFormat="1" applyFill="1"/>
    <xf numFmtId="0" fontId="1" fillId="2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165" fontId="0" fillId="6" borderId="0" xfId="0" applyNumberFormat="1" applyFill="1"/>
    <xf numFmtId="20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292117366196906"/>
                  <c:y val="-5.062851559229826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xVal>
            <c:numRef>
              <c:f>'Sheet1 (2)'!$E$3:$E$9</c:f>
              <c:numCache>
                <c:formatCode>0.0</c:formatCode>
                <c:ptCount val="7"/>
                <c:pt idx="0">
                  <c:v>0</c:v>
                </c:pt>
                <c:pt idx="1">
                  <c:v>243.90243902439028</c:v>
                </c:pt>
                <c:pt idx="2">
                  <c:v>697.67441860465124</c:v>
                </c:pt>
                <c:pt idx="3">
                  <c:v>1011.2359550561797</c:v>
                </c:pt>
                <c:pt idx="4">
                  <c:v>1578.9473684210527</c:v>
                </c:pt>
                <c:pt idx="5">
                  <c:v>2000</c:v>
                </c:pt>
                <c:pt idx="6">
                  <c:v>10000</c:v>
                </c:pt>
              </c:numCache>
            </c:numRef>
          </c:xVal>
          <c:yVal>
            <c:numRef>
              <c:f>'Sheet1 (2)'!$G$3:$G$9</c:f>
              <c:numCache>
                <c:formatCode>0.00</c:formatCode>
                <c:ptCount val="7"/>
                <c:pt idx="0">
                  <c:v>1.2210000000000001</c:v>
                </c:pt>
                <c:pt idx="1">
                  <c:v>244.70400000000001</c:v>
                </c:pt>
                <c:pt idx="2">
                  <c:v>665.30799999999999</c:v>
                </c:pt>
                <c:pt idx="3">
                  <c:v>951.33399999999995</c:v>
                </c:pt>
                <c:pt idx="4">
                  <c:v>1480.23</c:v>
                </c:pt>
                <c:pt idx="5">
                  <c:v>1841.5419999999999</c:v>
                </c:pt>
                <c:pt idx="6">
                  <c:v>8919.9860000000008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11-4176-976E-72E13853E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45920"/>
        <c:axId val="559646400"/>
      </c:scatterChart>
      <c:valAx>
        <c:axId val="5596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Expected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6400"/>
        <c:crosses val="autoZero"/>
        <c:crossBetween val="midCat"/>
      </c:valAx>
      <c:valAx>
        <c:axId val="559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Measured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Forced</a:t>
            </a:r>
            <a:r>
              <a:rPr lang="da-DK" baseline="0"/>
              <a:t> intercept 10,000 pt removed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1.0438117659448745E-3"/>
                  <c:y val="-0.203020347525116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'Sheet1 (2)'!$F$3:$F$9</c:f>
              <c:numCache>
                <c:formatCode>0.00</c:formatCode>
                <c:ptCount val="7"/>
                <c:pt idx="0">
                  <c:v>0</c:v>
                </c:pt>
                <c:pt idx="1">
                  <c:v>217.5606341463415</c:v>
                </c:pt>
                <c:pt idx="2">
                  <c:v>622.32460465116287</c:v>
                </c:pt>
                <c:pt idx="3">
                  <c:v>902.02105617977531</c:v>
                </c:pt>
                <c:pt idx="4">
                  <c:v>1408.4188421052634</c:v>
                </c:pt>
                <c:pt idx="5">
                  <c:v>1783.9972000000002</c:v>
                </c:pt>
                <c:pt idx="6">
                  <c:v>8919.9860000000008</c:v>
                </c:pt>
              </c:numCache>
            </c:numRef>
          </c:xVal>
          <c:yVal>
            <c:numRef>
              <c:f>'Sheet1 (2)'!$G$3:$G$8</c:f>
              <c:numCache>
                <c:formatCode>0.00</c:formatCode>
                <c:ptCount val="6"/>
                <c:pt idx="0">
                  <c:v>1.2210000000000001</c:v>
                </c:pt>
                <c:pt idx="1">
                  <c:v>244.70400000000001</c:v>
                </c:pt>
                <c:pt idx="2">
                  <c:v>665.30799999999999</c:v>
                </c:pt>
                <c:pt idx="3">
                  <c:v>951.33399999999995</c:v>
                </c:pt>
                <c:pt idx="4">
                  <c:v>1480.23</c:v>
                </c:pt>
                <c:pt idx="5">
                  <c:v>1841.5419999999999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5E-4AC3-9E12-DEA89EFE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45920"/>
        <c:axId val="559646400"/>
      </c:scatterChart>
      <c:valAx>
        <c:axId val="5596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Expected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6400"/>
        <c:crosses val="autoZero"/>
        <c:crossBetween val="midCat"/>
      </c:valAx>
      <c:valAx>
        <c:axId val="559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Measured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1526212</xdr:colOff>
      <xdr:row>14</xdr:row>
      <xdr:rowOff>175519</xdr:rowOff>
    </xdr:from>
    <xdr:to>
      <xdr:col>7</xdr:col>
      <xdr:colOff>368257</xdr:colOff>
      <xdr:row>27</xdr:row>
      <xdr:rowOff>109510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FB094-E8F2-4861-BF92-FC73D3ED9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1580444</xdr:colOff>
      <xdr:row>28</xdr:row>
      <xdr:rowOff>65852</xdr:rowOff>
    </xdr:from>
    <xdr:to>
      <xdr:col>7</xdr:col>
      <xdr:colOff>422489</xdr:colOff>
      <xdr:row>40</xdr:row>
      <xdr:rowOff>178584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6271E-CE73-4513-99A0-217195D62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6081-2711-4C45-BA43-CD7F10063201}">
  <dimension ref="A1:I21"/>
  <sheetViews>
    <sheetView tabSelected="1" topLeftCell="A5" zoomScale="81" workbookViewId="0">
      <selection activeCell="D29" sqref="D29"/>
    </sheetView>
  </sheetViews>
  <sheetFormatPr defaultColWidth="17.33203125" defaultRowHeight="14.4" x14ac:dyDescent="0.3"/>
  <cols>
    <col min="2" max="2" width="20" customWidth="1"/>
    <col min="4" max="4" width="19.33203125" customWidth="1"/>
    <col min="5" max="5" width="40.109375" bestFit="1" customWidth="1"/>
    <col min="6" max="6" width="42.21875" customWidth="1"/>
    <col min="7" max="7" width="22.109375" bestFit="1" customWidth="1"/>
  </cols>
  <sheetData>
    <row r="1" spans="1:9" x14ac:dyDescent="0.3">
      <c r="A1" s="19" t="s">
        <v>0</v>
      </c>
      <c r="B1" s="19"/>
      <c r="C1" s="20" t="s">
        <v>1</v>
      </c>
      <c r="D1" s="20"/>
      <c r="E1" t="s">
        <v>16</v>
      </c>
      <c r="F1" t="s">
        <v>17</v>
      </c>
      <c r="G1" t="s">
        <v>2</v>
      </c>
      <c r="H1" s="21" t="s">
        <v>14</v>
      </c>
      <c r="I1" s="21"/>
    </row>
    <row r="2" spans="1:9" x14ac:dyDescent="0.3">
      <c r="A2" s="1" t="s">
        <v>3</v>
      </c>
      <c r="B2" s="1" t="s">
        <v>4</v>
      </c>
      <c r="C2" s="2" t="s">
        <v>3</v>
      </c>
      <c r="D2" s="2" t="s">
        <v>5</v>
      </c>
      <c r="E2" t="s">
        <v>6</v>
      </c>
      <c r="F2" t="s">
        <v>6</v>
      </c>
      <c r="G2" t="s">
        <v>6</v>
      </c>
      <c r="H2" t="s">
        <v>7</v>
      </c>
      <c r="I2" t="s">
        <v>8</v>
      </c>
    </row>
    <row r="3" spans="1:9" x14ac:dyDescent="0.3">
      <c r="A3" s="1" t="s">
        <v>12</v>
      </c>
      <c r="B3" s="8">
        <v>4</v>
      </c>
      <c r="C3" s="2" t="s">
        <v>13</v>
      </c>
      <c r="D3" s="10">
        <v>0</v>
      </c>
      <c r="E3" s="7">
        <f>+$E$12*D3/(B3+D3)</f>
        <v>0</v>
      </c>
      <c r="F3" s="3">
        <f>($E$13*D3)/(B3+D3)</f>
        <v>0</v>
      </c>
      <c r="G3" s="3">
        <v>1.2210000000000001</v>
      </c>
      <c r="H3" s="4">
        <v>0.37152777777777779</v>
      </c>
      <c r="I3" s="4">
        <v>0.38194444444444442</v>
      </c>
    </row>
    <row r="4" spans="1:9" x14ac:dyDescent="0.3">
      <c r="A4" s="1" t="s">
        <v>12</v>
      </c>
      <c r="B4" s="8">
        <v>4</v>
      </c>
      <c r="C4" s="2" t="s">
        <v>13</v>
      </c>
      <c r="D4" s="10">
        <v>0.1</v>
      </c>
      <c r="E4" s="7">
        <f>+$E$12*D4/(B4+D4)</f>
        <v>243.90243902439028</v>
      </c>
      <c r="F4" s="3">
        <f t="shared" ref="F4:F9" si="0">($E$13*D4)/(B4+D4)</f>
        <v>217.5606341463415</v>
      </c>
      <c r="G4" s="3">
        <v>244.70400000000001</v>
      </c>
      <c r="H4" s="4">
        <v>0.4513888888888889</v>
      </c>
      <c r="I4" s="18">
        <v>0.46180555555555558</v>
      </c>
    </row>
    <row r="5" spans="1:9" x14ac:dyDescent="0.3">
      <c r="A5" s="1" t="s">
        <v>12</v>
      </c>
      <c r="B5" s="8">
        <v>4</v>
      </c>
      <c r="C5" s="2" t="s">
        <v>13</v>
      </c>
      <c r="D5" s="10">
        <v>0.3</v>
      </c>
      <c r="E5" s="7">
        <f t="shared" ref="E5:E9" si="1">+$E$12*D5/(B5+D5)</f>
        <v>697.67441860465124</v>
      </c>
      <c r="F5" s="3">
        <f t="shared" si="0"/>
        <v>622.32460465116287</v>
      </c>
      <c r="G5" s="3">
        <v>665.30799999999999</v>
      </c>
      <c r="H5" s="4">
        <v>0.44097222222222221</v>
      </c>
      <c r="I5" s="4">
        <v>0.4513888888888889</v>
      </c>
    </row>
    <row r="6" spans="1:9" x14ac:dyDescent="0.3">
      <c r="A6" s="13" t="s">
        <v>12</v>
      </c>
      <c r="B6" s="14">
        <v>4</v>
      </c>
      <c r="C6" s="15" t="s">
        <v>13</v>
      </c>
      <c r="D6" s="16">
        <v>0.45</v>
      </c>
      <c r="E6" s="7">
        <f t="shared" si="1"/>
        <v>1011.2359550561797</v>
      </c>
      <c r="F6" s="3">
        <f t="shared" si="0"/>
        <v>902.02105617977531</v>
      </c>
      <c r="G6" s="3">
        <v>951.33399999999995</v>
      </c>
      <c r="H6" s="4">
        <v>0.42916666666666664</v>
      </c>
      <c r="I6" s="4">
        <v>0.44097222222222221</v>
      </c>
    </row>
    <row r="7" spans="1:9" x14ac:dyDescent="0.3">
      <c r="A7" s="1" t="s">
        <v>12</v>
      </c>
      <c r="B7" s="8">
        <v>4</v>
      </c>
      <c r="C7" s="2" t="s">
        <v>13</v>
      </c>
      <c r="D7" s="10">
        <v>0.75</v>
      </c>
      <c r="E7" s="7">
        <f t="shared" si="1"/>
        <v>1578.9473684210527</v>
      </c>
      <c r="F7" s="3">
        <f t="shared" si="0"/>
        <v>1408.4188421052634</v>
      </c>
      <c r="G7" s="3">
        <v>1480.23</v>
      </c>
      <c r="H7" s="4">
        <v>0.40625</v>
      </c>
      <c r="I7" s="4">
        <v>0.41666666666666669</v>
      </c>
    </row>
    <row r="8" spans="1:9" x14ac:dyDescent="0.3">
      <c r="A8" s="1" t="s">
        <v>12</v>
      </c>
      <c r="B8" s="8">
        <v>4</v>
      </c>
      <c r="C8" s="2" t="s">
        <v>13</v>
      </c>
      <c r="D8" s="10">
        <v>1</v>
      </c>
      <c r="E8" s="7">
        <f t="shared" si="1"/>
        <v>2000</v>
      </c>
      <c r="F8" s="3">
        <f t="shared" si="0"/>
        <v>1783.9972000000002</v>
      </c>
      <c r="G8" s="3">
        <v>1841.5419999999999</v>
      </c>
      <c r="H8" s="4">
        <v>0.38750000000000001</v>
      </c>
      <c r="I8" s="12">
        <v>0.40625</v>
      </c>
    </row>
    <row r="9" spans="1:9" x14ac:dyDescent="0.3">
      <c r="A9" s="2" t="s">
        <v>13</v>
      </c>
      <c r="B9" s="10">
        <v>0</v>
      </c>
      <c r="C9" s="1" t="s">
        <v>12</v>
      </c>
      <c r="D9" s="8">
        <v>4</v>
      </c>
      <c r="E9" s="7">
        <f t="shared" si="1"/>
        <v>10000</v>
      </c>
      <c r="F9" s="3">
        <f t="shared" si="0"/>
        <v>8919.9860000000008</v>
      </c>
      <c r="G9" s="3">
        <v>8919.9860000000008</v>
      </c>
      <c r="H9" s="4">
        <v>0.46875</v>
      </c>
      <c r="I9" s="4">
        <v>0.47916666666666669</v>
      </c>
    </row>
    <row r="10" spans="1:9" x14ac:dyDescent="0.3">
      <c r="G10" s="4"/>
      <c r="H10" s="4"/>
    </row>
    <row r="11" spans="1:9" x14ac:dyDescent="0.3">
      <c r="B11" s="9" t="s">
        <v>10</v>
      </c>
      <c r="G11" s="4"/>
      <c r="H11" s="4"/>
    </row>
    <row r="12" spans="1:9" x14ac:dyDescent="0.3">
      <c r="A12" s="5"/>
      <c r="B12" s="11" t="s">
        <v>11</v>
      </c>
      <c r="C12" s="5">
        <v>1</v>
      </c>
      <c r="D12" s="6" t="s">
        <v>9</v>
      </c>
      <c r="E12" s="6">
        <v>10000</v>
      </c>
    </row>
    <row r="13" spans="1:9" x14ac:dyDescent="0.3">
      <c r="C13">
        <f>+C12*0.1</f>
        <v>0.1</v>
      </c>
      <c r="D13" t="s">
        <v>15</v>
      </c>
      <c r="E13" s="3">
        <f>G9</f>
        <v>8919.9860000000008</v>
      </c>
    </row>
    <row r="19" spans="1:5" x14ac:dyDescent="0.3">
      <c r="A19" s="5"/>
      <c r="B19" s="11"/>
      <c r="C19" s="17"/>
      <c r="D19" s="11"/>
      <c r="E19" s="11"/>
    </row>
    <row r="20" spans="1:5" x14ac:dyDescent="0.3">
      <c r="B20" s="11"/>
      <c r="C20" s="11"/>
      <c r="D20" s="11"/>
      <c r="E20" s="11"/>
    </row>
    <row r="21" spans="1:5" x14ac:dyDescent="0.3">
      <c r="B21" s="11"/>
      <c r="C21" s="11"/>
      <c r="D21" s="11"/>
      <c r="E21" s="11"/>
    </row>
  </sheetData>
  <mergeCells count="3">
    <mergeCell ref="A1:B1"/>
    <mergeCell ref="C1:D1"/>
    <mergeCell ref="H1:I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2025-11-23T10:52:02Z</dcterms:created>
  <dcterms:modified xsi:type="dcterms:W3CDTF">2026-02-12T15:10:58Z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1323618125924795208</vt:lpwstr>
  </property>
  <property fmtid="{D5CDD505-2E9C-101B-9397-08002B2CF9AE}" pid="5" name="TemplafyFromBlank">
    <vt:bool>true</vt:bool>
  </property>
</Properties>
</file>