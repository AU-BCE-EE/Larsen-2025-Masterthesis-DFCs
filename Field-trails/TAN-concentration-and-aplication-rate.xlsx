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5FD6E42E-A58C-4844-A7CA-BF8E3901A35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E2" i="1"/>
  <c r="K22" i="1"/>
  <c r="J25" i="1"/>
  <c r="K19" i="1"/>
  <c r="K16" i="1"/>
  <c r="K13" i="1"/>
  <c r="J22" i="1"/>
  <c r="J19" i="1"/>
  <c r="J16" i="1"/>
  <c r="J13" i="1"/>
  <c r="H4" i="1"/>
  <c r="J4" i="1" s="1"/>
  <c r="I4" i="1"/>
  <c r="K4" i="1" s="1"/>
  <c r="K7" i="1"/>
  <c r="K10" i="1"/>
  <c r="N3" i="1"/>
  <c r="M3" i="1"/>
  <c r="N2" i="1"/>
  <c r="M2" i="1"/>
  <c r="J10" i="1"/>
  <c r="J7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<sst xmlns="http://schemas.openxmlformats.org/spreadsheetml/2006/main" count="55" uniqueCount="19">
  <si>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</si>
  <si>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</si>
  <si>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</si>
  <si>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</si>
  <si>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</si>
  <si>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</si>
  <si>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</si>
  <si>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</si>
  <si>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</si>
  <si>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</si>
  <si>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</si>
  <si>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</si>
  <si>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</si>
  <si>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</si>
  <si>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</si>
  <si>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</si>
  <si>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mean</t>
  </si>
  <si>
    <t>AmmoniumN application rate [kgN/ ha]</t>
  </si>
  <si>
    <t>AmmoniumN application rate stdev [kgN/ha]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</si>
</sst>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topLeftCell="B1" workbookViewId="0">
      <selection activeCell="J7" sqref="J7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6" width="13.109375" bestFit="1" customWidth="1"/>
    <col min="7" max="9" width="13.33203125" customWidth="1"/>
    <col min="10" max="11" width="12" bestFit="1" customWidth="1"/>
  </cols>
  <sheetData>
    <row r="1" spans="1:15" ht="57.6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17</v>
      </c>
      <c r="K1" s="1" t="s">
        <v>18</v>
      </c>
      <c r="M1" t="s">
        <v>13</v>
      </c>
    </row>
    <row r="2" spans="1:15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M2">
        <f>AVERAGE(G2:G10)</f>
        <v>6225.7384030777785</v>
      </c>
      <c r="N2" s="2">
        <f>M2/100</f>
        <v>62.257384030777786</v>
      </c>
      <c r="O2" t="s">
        <v>16</v>
      </c>
    </row>
    <row r="3" spans="1:15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M3">
        <f>_xlfn.STDEV.P(G2:G10)</f>
        <v>134.82711051118892</v>
      </c>
      <c r="N3" s="2">
        <f>M3/100</f>
        <v>1.3482711051118892</v>
      </c>
    </row>
    <row r="4" spans="1:15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 s="2">
        <f>H4*10^-6*10^4</f>
        <v>61.665952118000007</v>
      </c>
      <c r="K4" s="3">
        <f>I4/100</f>
        <v>1.1919894847353085</v>
      </c>
    </row>
    <row r="5" spans="1:15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5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5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 s="2">
        <f>H7/100</f>
        <v>62.575222216666674</v>
      </c>
      <c r="K7" s="3">
        <f>I7/100</f>
        <v>1.8101826145254598</v>
      </c>
    </row>
    <row r="8" spans="1:15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5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5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 s="3">
        <f>H10/100</f>
        <v>62.530977757666669</v>
      </c>
      <c r="K10" s="4">
        <f>I10/100</f>
        <v>0.4798317848319944</v>
      </c>
    </row>
    <row r="11" spans="1:15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5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5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 s="3">
        <f>H13/100</f>
        <v>62.284364317666672</v>
      </c>
      <c r="K13" s="3">
        <f>I13/100</f>
        <v>2.0303183484844896</v>
      </c>
    </row>
    <row r="14" spans="1:15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5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5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  <c r="J16" s="3">
        <f>H16/100</f>
        <v>62.48880402266667</v>
      </c>
      <c r="K16" s="3">
        <f>I16/100</f>
        <v>0.62014021128701702</v>
      </c>
    </row>
    <row r="17" spans="1:11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11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11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  <c r="J19" s="3">
        <f>H19/100</f>
        <v>61.147965907000007</v>
      </c>
      <c r="K19" s="3">
        <f>I19/100</f>
        <v>1.1380078787884609</v>
      </c>
    </row>
    <row r="20" spans="1:11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11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11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  <c r="J22" s="3">
        <f>H22/100</f>
        <v>62.119080593666666</v>
      </c>
      <c r="K22" s="3">
        <f>I22/100</f>
        <v>0.74504831688534334</v>
      </c>
    </row>
    <row r="25" spans="1:11" x14ac:dyDescent="0.3">
      <c r="J25" s="2">
        <f>AVERAGE(J4,J7,J10,J13,J16,J19,J22)</f>
        <v>62.11605241904762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2026-05-10T14:01:32Z</dcterms:modified>
</cp:coreProperties>
</file>