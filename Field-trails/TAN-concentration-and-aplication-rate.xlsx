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701FA6F9-3616-4F58-819F-B9574651EE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4" i="1"/>
  <c r="K4" i="1" s="1"/>
  <c r="K7" i="1"/>
  <c r="K10" i="1"/>
  <c r="N3" i="1"/>
  <c r="M3" i="1"/>
  <c r="N2" i="1"/>
  <c r="M2" i="1"/>
  <c r="J10" i="1"/>
  <c r="J7" i="1"/>
  <c r="J4" i="1"/>
  <c r="H4" i="1"/>
  <c r="E2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<sst xmlns="http://schemas.openxmlformats.org/spreadsheetml/2006/main" count="55" uniqueCount="19">
  <si>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</si>
  <si>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</si>
  <si>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</si>
  <si>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</si>
  <si>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</si>
  <si>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</si>
  <si>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</si>
  <si>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</si>
  <si>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</si>
  <si>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</si>
  <si>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</si>
  <si>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</si>
  <si>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</si>
  <si>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</si>
  <si>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</si>
  <si>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</si>
  <si>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AmmoniumN application rate [kg/ ha]</t>
  </si>
  <si>
    <t>mean</t>
  </si>
  <si>
    <t>AmmoniumN application rate stdev [kg/ha]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</si>
</sst>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G3" sqref="G3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  <col min="10" max="11" width="12" bestFit="1" customWidth="1"/>
  </cols>
  <sheetData>
    <row r="1" spans="1:15" ht="86.4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16</v>
      </c>
      <c r="K1" s="1" t="s">
        <v>18</v>
      </c>
      <c r="M1" t="s">
        <v>13</v>
      </c>
    </row>
    <row r="2" spans="1:15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M2">
        <f>AVERAGE(G2:G10)</f>
        <v>6225.7384030777785</v>
      </c>
      <c r="N2" s="2">
        <f>M2/100</f>
        <v>62.257384030777786</v>
      </c>
      <c r="O2" t="s">
        <v>17</v>
      </c>
    </row>
    <row r="3" spans="1:15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M3">
        <f>_xlfn.STDEV.P(G2:G10)</f>
        <v>134.82711051118892</v>
      </c>
      <c r="N3" s="2">
        <f>M3/100</f>
        <v>1.3482711051118892</v>
      </c>
    </row>
    <row r="4" spans="1:15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 s="2">
        <f>H4*10^-6*10^4</f>
        <v>61.665952118000007</v>
      </c>
      <c r="K4" s="2">
        <f>I4/100</f>
        <v>1.1919894847353085</v>
      </c>
    </row>
    <row r="5" spans="1:15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5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5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 s="2">
        <f>H7/100</f>
        <v>62.575222216666674</v>
      </c>
      <c r="K7" s="2">
        <f>I7/100</f>
        <v>1.8101826145254598</v>
      </c>
    </row>
    <row r="8" spans="1:15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5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5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 s="3">
        <f>H10/100</f>
        <v>62.530977757666669</v>
      </c>
      <c r="K10" s="3">
        <f>I10/100</f>
        <v>0.4798317848319944</v>
      </c>
    </row>
    <row r="11" spans="1:15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5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5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 s="2"/>
      <c r="K13" s="2"/>
    </row>
    <row r="14" spans="1:15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5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5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2026-04-22T14:34:05Z</dcterms:modified>
</cp:coreProperties>
</file>