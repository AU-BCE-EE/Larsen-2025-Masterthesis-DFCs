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4246A580-80A5-4593-99BD-0610B15522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L3" i="1"/>
  <c r="M2" i="1"/>
  <c r="L2" i="1"/>
  <c r="J22" i="1"/>
  <c r="J19" i="1"/>
  <c r="J16" i="1"/>
  <c r="J13" i="1"/>
  <c r="J10" i="1"/>
  <c r="J7" i="1"/>
  <c r="J4" i="1"/>
  <c r="G2" i="1"/>
  <c r="H4" i="1"/>
  <c r="E2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I4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<sst xmlns="http://schemas.openxmlformats.org/spreadsheetml/2006/main" count="54" uniqueCount="18">
  <si>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</si>
  <si>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</si>
  <si>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</si>
  <si>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</si>
  <si>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</si>
  <si>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</si>
  <si>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</si>
  <si>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</si>
  <si>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</si>
  <si>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</si>
  <si>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</si>
  <si>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</si>
  <si>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</si>
  <si>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</si>
  <si>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</si>
  <si>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</si>
  <si>
    <t>AmmoniumN application rate [kg/ ha]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</si>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</sst>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workbookViewId="0">
      <selection activeCell="E13" sqref="E13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4" ht="72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J1" s="1" t="s">
        <v>16</v>
      </c>
      <c r="L1" t="s">
        <v>13</v>
      </c>
    </row>
    <row r="2" spans="1:14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  <c r="L2">
        <f>AVERAGE(G2:G10)</f>
        <v>6225.7384030777785</v>
      </c>
      <c r="M2" s="2">
        <f>L2/100</f>
        <v>62.257384030777786</v>
      </c>
      <c r="N2" t="s">
        <v>17</v>
      </c>
    </row>
    <row r="3" spans="1:14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  <c r="L3">
        <f>_xlfn.STDEV.P(G2:G10)</f>
        <v>134.82711051118892</v>
      </c>
      <c r="M3" s="2">
        <f>L3/100</f>
        <v>1.3482711051118892</v>
      </c>
    </row>
    <row r="4" spans="1:14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  <c r="J4">
        <f>H4*10^-6*10^4</f>
        <v>61.665952118000007</v>
      </c>
    </row>
    <row r="5" spans="1:14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4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4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  <c r="J7">
        <f>H7/100</f>
        <v>62.575222216666674</v>
      </c>
    </row>
    <row r="8" spans="1:14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4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4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  <c r="J10">
        <f>H10/100</f>
        <v>62.530977757666669</v>
      </c>
    </row>
    <row r="11" spans="1:14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4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4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  <c r="J13">
        <f>H13/100</f>
        <v>62.284364317666672</v>
      </c>
    </row>
    <row r="14" spans="1:14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4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4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  <c r="J16">
        <f>H16/100</f>
        <v>62.48880402266667</v>
      </c>
    </row>
    <row r="17" spans="1:10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10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10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  <c r="J19">
        <f>H19/100</f>
        <v>61.147965907000007</v>
      </c>
    </row>
    <row r="20" spans="1:10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10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10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  <c r="J22">
        <f>H22/100</f>
        <v>62.119080593666666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2026-04-12T14:34:45Z</dcterms:modified>
</cp:coreProperties>
</file>