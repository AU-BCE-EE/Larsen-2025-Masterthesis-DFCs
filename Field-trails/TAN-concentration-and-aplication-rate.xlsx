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ikae\Desktop\Github - speciale\Larsen-2025-Masterthesis-DFCs\Field-trails\"/>
    </mc:Choice>
  </mc:AlternateContent>
  <xr:revisionPtr revIDLastSave="0" documentId="13_ncr:1_{9E54E7D2-67B2-4897-B528-DD66D5343DC7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I22" i="1"/>
  <c r="I19" i="1"/>
  <c r="I16" i="1"/>
  <c r="I13" i="1"/>
  <c r="I7" i="1"/>
  <c r="I10" i="1"/>
  <c r="I4" i="1"/>
  <c r="H22" i="1"/>
  <c r="H19" i="1"/>
  <c r="H16" i="1"/>
  <c r="H13" i="1"/>
  <c r="H10" i="1"/>
  <c r="H7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tc={29AA6263-E8DB-4FA5-80A1-CF347712F0CF}</author>
  </authors>
  <commentList>
    <comment ref="E1" authorId="0" shapeId="0" xr:uid="{29AA6263-E8DB-4FA5-80A1-CF347712F0CF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Assumes density of slurry to be equivalent to the density of water, meaning 1 kg slurry = 1 L
10,000 m2 pr Ha</t>
      </text>
    </comment>
  </commentList>
</comments>
</file>

<file path=xl/sharedStrings.xml><?xml version="1.0" encoding="utf-8"?>
<sst xmlns="http://schemas.openxmlformats.org/spreadsheetml/2006/main" count="52" uniqueCount="16">
  <si>
    <t>Trial</t>
  </si>
  <si>
    <t>Treatment</t>
  </si>
  <si>
    <t>Cattle</t>
  </si>
  <si>
    <t>AA</t>
  </si>
  <si>
    <t>Raw</t>
  </si>
  <si>
    <t>H2SO4</t>
  </si>
  <si>
    <t>Pig</t>
  </si>
  <si>
    <t>Machine</t>
  </si>
  <si>
    <t>Date (y-m-d)</t>
  </si>
  <si>
    <t>Ammonium-N [g/L]
Tveskæg</t>
  </si>
  <si>
    <t>Slurry Amount [Ton/ha]</t>
  </si>
  <si>
    <t>Slurry amount [L/m2]</t>
  </si>
  <si>
    <t>AmmoniumN application rate [mg/m2]</t>
  </si>
  <si>
    <r>
      <t xml:space="preserve">AmmoniumN application rate </t>
    </r>
    <r>
      <rPr>
        <b/>
        <sz val="11"/>
        <color theme="1"/>
        <rFont val="Calibri"/>
        <family val="2"/>
        <scheme val="minor"/>
      </rPr>
      <t>avg</t>
    </r>
    <r>
      <rPr>
        <sz val="11"/>
        <color theme="1"/>
        <rFont val="Calibri"/>
        <family val="2"/>
        <scheme val="minor"/>
      </rPr>
      <t xml:space="preserve"> [mg/m2]</t>
    </r>
  </si>
  <si>
    <r>
      <t xml:space="preserve">AmmoniumN application rate </t>
    </r>
    <r>
      <rPr>
        <b/>
        <sz val="11"/>
        <color theme="1"/>
        <rFont val="Calibri"/>
        <family val="2"/>
        <scheme val="minor"/>
      </rPr>
      <t xml:space="preserve">stdev </t>
    </r>
    <r>
      <rPr>
        <sz val="11"/>
        <color theme="1"/>
        <rFont val="Calibri"/>
        <family val="2"/>
        <scheme val="minor"/>
      </rPr>
      <t>[mg/m2]</t>
    </r>
  </si>
  <si>
    <t>Data derrived from AgroScena Github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</si>
</sst>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kael Løvig Larsen" id="{08F62353-0F72-4D52-AB8C-B169C57CF3C1}" userId="S::au705323@uni.au.dk::501b5c6e-34b9-41fc-bcf2-dc0650cde63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5-11-28T09:54:51.15" personId="{08F62353-0F72-4D52-AB8C-B169C57CF3C1}" id="{29AA6263-E8DB-4FA5-80A1-CF347712F0CF}">
    <text>Assumes density of slurry to be equivalent to the density of water, meaning 1 kg slurry = 1 L
10,000 m2 pr Ha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workbookViewId="0">
      <selection activeCell="H5" sqref="H5"/>
    </sheetView>
  </sheetViews>
  <sheetFormatPr defaultRowHeight="14.4" x14ac:dyDescent="0.3"/>
  <cols>
    <col min="2" max="2" width="13.44140625" bestFit="1" customWidth="1"/>
    <col min="3" max="3" width="9.5546875" bestFit="1" customWidth="1"/>
    <col min="4" max="4" width="13.33203125" customWidth="1"/>
    <col min="5" max="5" width="13.33203125" style="1" customWidth="1"/>
    <col min="6" max="9" width="13.33203125" customWidth="1"/>
  </cols>
  <sheetData>
    <row r="1" spans="1:12" ht="57.6" x14ac:dyDescent="0.3">
      <c r="A1" s="1" t="s">
        <v>0</v>
      </c>
      <c r="B1" s="1" t="s">
        <v>8</v>
      </c>
      <c r="C1" s="1" t="s">
        <v>1</v>
      </c>
      <c r="D1" s="1" t="s">
        <v>10</v>
      </c>
      <c r="E1" s="1" t="s">
        <v>11</v>
      </c>
      <c r="F1" s="1" t="s">
        <v>9</v>
      </c>
      <c r="G1" s="1" t="s">
        <v>12</v>
      </c>
      <c r="H1" s="1" t="s">
        <v>13</v>
      </c>
      <c r="I1" s="1" t="s">
        <v>14</v>
      </c>
      <c r="K1" s="2" t="s">
        <v>15</v>
      </c>
      <c r="L1" s="1"/>
    </row>
    <row r="2" spans="1:12" x14ac:dyDescent="0.3">
      <c r="A2" t="s">
        <v>2</v>
      </c>
      <c r="B2">
        <v>251028</v>
      </c>
      <c r="C2" t="s">
        <v>3</v>
      </c>
      <c r="D2">
        <v>29</v>
      </c>
      <c r="E2" s="1">
        <f>D2*10^3*10^-4</f>
        <v>2.9000000000000004</v>
      </c>
      <c r="F2">
        <v>1.8466</v>
      </c>
      <c r="G2">
        <f>E2*F2*10^3</f>
        <v>5355.14</v>
      </c>
    </row>
    <row r="3" spans="1:12" x14ac:dyDescent="0.3">
      <c r="A3" t="s">
        <v>2</v>
      </c>
      <c r="B3">
        <v>251028</v>
      </c>
      <c r="C3" t="s">
        <v>3</v>
      </c>
      <c r="D3">
        <v>29</v>
      </c>
      <c r="E3" s="1">
        <f t="shared" ref="E3:E22" si="0">D3*10^3*10^-4</f>
        <v>2.9000000000000004</v>
      </c>
      <c r="F3">
        <v>1.9151419999999999</v>
      </c>
      <c r="G3">
        <f t="shared" ref="G3:G22" si="1">E3*F3*10^3</f>
        <v>5553.9118000000008</v>
      </c>
    </row>
    <row r="4" spans="1:12" x14ac:dyDescent="0.3">
      <c r="A4" t="s">
        <v>2</v>
      </c>
      <c r="B4">
        <v>251028</v>
      </c>
      <c r="C4" t="s">
        <v>3</v>
      </c>
      <c r="D4">
        <v>29</v>
      </c>
      <c r="E4" s="1">
        <f t="shared" si="0"/>
        <v>2.9000000000000004</v>
      </c>
      <c r="F4">
        <v>1.794495</v>
      </c>
      <c r="G4">
        <f t="shared" si="1"/>
        <v>5204.0355000000009</v>
      </c>
      <c r="H4" s="3">
        <f>AVERAGE(G2:G4)</f>
        <v>5371.0291000000007</v>
      </c>
      <c r="I4" s="3">
        <f>_xlfn.STDEV.P(G2:G4)</f>
        <v>143.27759524673306</v>
      </c>
    </row>
    <row r="5" spans="1:12" x14ac:dyDescent="0.3">
      <c r="A5" t="s">
        <v>2</v>
      </c>
      <c r="B5">
        <v>251028</v>
      </c>
      <c r="C5" t="s">
        <v>4</v>
      </c>
      <c r="D5">
        <v>29</v>
      </c>
      <c r="E5" s="1">
        <f t="shared" si="0"/>
        <v>2.9000000000000004</v>
      </c>
      <c r="F5">
        <v>1.8043929999999999</v>
      </c>
      <c r="G5">
        <f t="shared" si="1"/>
        <v>5232.739700000001</v>
      </c>
    </row>
    <row r="6" spans="1:12" x14ac:dyDescent="0.3">
      <c r="A6" t="s">
        <v>2</v>
      </c>
      <c r="B6">
        <v>251028</v>
      </c>
      <c r="C6" t="s">
        <v>4</v>
      </c>
      <c r="D6">
        <v>29</v>
      </c>
      <c r="E6" s="1">
        <f t="shared" si="0"/>
        <v>2.9000000000000004</v>
      </c>
      <c r="F6">
        <v>1.7271240000000001</v>
      </c>
      <c r="G6">
        <f t="shared" si="1"/>
        <v>5008.6596000000009</v>
      </c>
    </row>
    <row r="7" spans="1:12" x14ac:dyDescent="0.3">
      <c r="A7" t="s">
        <v>2</v>
      </c>
      <c r="B7">
        <v>251028</v>
      </c>
      <c r="C7" t="s">
        <v>4</v>
      </c>
      <c r="D7">
        <v>29</v>
      </c>
      <c r="E7" s="1">
        <f t="shared" si="0"/>
        <v>2.9000000000000004</v>
      </c>
      <c r="F7">
        <v>1.866835</v>
      </c>
      <c r="G7">
        <f t="shared" si="1"/>
        <v>5413.8215000000009</v>
      </c>
      <c r="H7" s="3">
        <f>AVERAGE(G5:G7)</f>
        <v>5218.4069333333346</v>
      </c>
      <c r="I7" s="3">
        <f>_xlfn.STDEV.P(G5:G7)</f>
        <v>165.71685179474727</v>
      </c>
    </row>
    <row r="8" spans="1:12" x14ac:dyDescent="0.3">
      <c r="A8" t="s">
        <v>2</v>
      </c>
      <c r="B8">
        <v>251028</v>
      </c>
      <c r="C8" t="s">
        <v>5</v>
      </c>
      <c r="D8">
        <v>29</v>
      </c>
      <c r="E8" s="1">
        <f t="shared" si="0"/>
        <v>2.9000000000000004</v>
      </c>
      <c r="F8">
        <v>1.8385579999999999</v>
      </c>
      <c r="G8">
        <f t="shared" si="1"/>
        <v>5331.8182000000006</v>
      </c>
    </row>
    <row r="9" spans="1:12" x14ac:dyDescent="0.3">
      <c r="A9" t="s">
        <v>2</v>
      </c>
      <c r="B9">
        <v>251028</v>
      </c>
      <c r="C9" t="s">
        <v>5</v>
      </c>
      <c r="D9">
        <v>29</v>
      </c>
      <c r="E9" s="1">
        <f t="shared" si="0"/>
        <v>2.9000000000000004</v>
      </c>
      <c r="F9">
        <v>1.9110240000000001</v>
      </c>
      <c r="G9">
        <f t="shared" si="1"/>
        <v>5541.9696000000004</v>
      </c>
    </row>
    <row r="10" spans="1:12" x14ac:dyDescent="0.3">
      <c r="A10" t="s">
        <v>2</v>
      </c>
      <c r="B10">
        <v>251028</v>
      </c>
      <c r="C10" t="s">
        <v>5</v>
      </c>
      <c r="D10">
        <v>29</v>
      </c>
      <c r="E10" s="1">
        <f t="shared" si="0"/>
        <v>2.9000000000000004</v>
      </c>
      <c r="F10">
        <v>1.9051800000000001</v>
      </c>
      <c r="G10">
        <f t="shared" si="1"/>
        <v>5525.0220000000008</v>
      </c>
      <c r="H10" s="3">
        <f>AVERAGE(G8:G10)</f>
        <v>5466.2699333333339</v>
      </c>
      <c r="I10" s="3">
        <f>_xlfn.STDEV.P(G8:G10)</f>
        <v>95.323158199510388</v>
      </c>
    </row>
    <row r="11" spans="1:12" x14ac:dyDescent="0.3">
      <c r="A11" t="s">
        <v>6</v>
      </c>
      <c r="B11">
        <v>251105</v>
      </c>
      <c r="C11" t="s">
        <v>3</v>
      </c>
      <c r="D11">
        <v>17</v>
      </c>
      <c r="E11" s="1">
        <f t="shared" si="0"/>
        <v>1.7000000000000002</v>
      </c>
      <c r="F11">
        <v>2.5810770000000001</v>
      </c>
      <c r="G11">
        <f t="shared" si="1"/>
        <v>4387.8309000000008</v>
      </c>
    </row>
    <row r="12" spans="1:12" x14ac:dyDescent="0.3">
      <c r="A12" t="s">
        <v>6</v>
      </c>
      <c r="B12">
        <v>251105</v>
      </c>
      <c r="C12" t="s">
        <v>3</v>
      </c>
      <c r="D12">
        <v>17</v>
      </c>
      <c r="E12" s="1">
        <f t="shared" si="0"/>
        <v>1.7000000000000002</v>
      </c>
      <c r="F12">
        <v>2.3806069999999999</v>
      </c>
      <c r="G12">
        <f t="shared" si="1"/>
        <v>4047.0319000000004</v>
      </c>
    </row>
    <row r="13" spans="1:12" x14ac:dyDescent="0.3">
      <c r="A13" t="s">
        <v>6</v>
      </c>
      <c r="B13">
        <v>251105</v>
      </c>
      <c r="C13" t="s">
        <v>3</v>
      </c>
      <c r="D13">
        <v>17</v>
      </c>
      <c r="E13" s="1">
        <f t="shared" si="0"/>
        <v>1.7000000000000002</v>
      </c>
      <c r="F13">
        <v>2.7910710000000001</v>
      </c>
      <c r="G13">
        <f t="shared" si="1"/>
        <v>4744.8207000000011</v>
      </c>
      <c r="H13" s="3">
        <f>AVERAGE(G11:G13)</f>
        <v>4393.2278333333343</v>
      </c>
      <c r="I13" s="3">
        <f>_xlfn.STDEV.P(G11:G13)</f>
        <v>284.89664502343487</v>
      </c>
    </row>
    <row r="14" spans="1:12" x14ac:dyDescent="0.3">
      <c r="A14" t="s">
        <v>6</v>
      </c>
      <c r="B14">
        <v>251105</v>
      </c>
      <c r="C14" t="s">
        <v>4</v>
      </c>
      <c r="D14">
        <v>17</v>
      </c>
      <c r="E14" s="1">
        <f t="shared" si="0"/>
        <v>1.7000000000000002</v>
      </c>
      <c r="F14">
        <v>2.661114</v>
      </c>
      <c r="G14">
        <f t="shared" si="1"/>
        <v>4523.8938000000007</v>
      </c>
    </row>
    <row r="15" spans="1:12" x14ac:dyDescent="0.3">
      <c r="A15" t="s">
        <v>6</v>
      </c>
      <c r="B15">
        <v>251105</v>
      </c>
      <c r="C15" t="s">
        <v>4</v>
      </c>
      <c r="D15">
        <v>17</v>
      </c>
      <c r="E15" s="1">
        <f t="shared" si="0"/>
        <v>1.7000000000000002</v>
      </c>
      <c r="F15">
        <v>2.7869969999999999</v>
      </c>
      <c r="G15">
        <f t="shared" si="1"/>
        <v>4737.8949000000002</v>
      </c>
    </row>
    <row r="16" spans="1:12" x14ac:dyDescent="0.3">
      <c r="A16" t="s">
        <v>6</v>
      </c>
      <c r="B16">
        <v>251105</v>
      </c>
      <c r="C16" t="s">
        <v>4</v>
      </c>
      <c r="D16">
        <v>17</v>
      </c>
      <c r="E16" s="1">
        <f t="shared" si="0"/>
        <v>1.7000000000000002</v>
      </c>
      <c r="F16">
        <v>2.7585519999999999</v>
      </c>
      <c r="G16">
        <f t="shared" si="1"/>
        <v>4689.5384000000004</v>
      </c>
      <c r="H16" s="3">
        <f>AVERAGE(G14:G16)</f>
        <v>4650.4423666666671</v>
      </c>
      <c r="I16" s="3">
        <f>_xlfn.STDEV.P(G14:G16)</f>
        <v>91.635119057790916</v>
      </c>
    </row>
    <row r="17" spans="1:9" x14ac:dyDescent="0.3">
      <c r="A17" t="s">
        <v>6</v>
      </c>
      <c r="B17">
        <v>251105</v>
      </c>
      <c r="C17" t="s">
        <v>5</v>
      </c>
      <c r="D17">
        <v>17</v>
      </c>
      <c r="E17" s="1">
        <f t="shared" si="0"/>
        <v>1.7000000000000002</v>
      </c>
      <c r="F17">
        <v>2.882666</v>
      </c>
      <c r="G17">
        <f t="shared" si="1"/>
        <v>4900.5322000000006</v>
      </c>
    </row>
    <row r="18" spans="1:9" x14ac:dyDescent="0.3">
      <c r="A18" t="s">
        <v>6</v>
      </c>
      <c r="B18">
        <v>251105</v>
      </c>
      <c r="C18" t="s">
        <v>5</v>
      </c>
      <c r="D18">
        <v>17</v>
      </c>
      <c r="E18" s="1">
        <f t="shared" si="0"/>
        <v>1.7000000000000002</v>
      </c>
      <c r="F18">
        <v>2.7421579999999999</v>
      </c>
      <c r="G18">
        <f t="shared" si="1"/>
        <v>4661.6686000000009</v>
      </c>
    </row>
    <row r="19" spans="1:9" x14ac:dyDescent="0.3">
      <c r="A19" t="s">
        <v>6</v>
      </c>
      <c r="B19">
        <v>251105</v>
      </c>
      <c r="C19" t="s">
        <v>5</v>
      </c>
      <c r="D19">
        <v>17</v>
      </c>
      <c r="E19" s="1">
        <f t="shared" si="0"/>
        <v>1.7000000000000002</v>
      </c>
      <c r="F19">
        <v>2.7431019999999999</v>
      </c>
      <c r="G19">
        <f t="shared" si="1"/>
        <v>4663.2734</v>
      </c>
      <c r="H19" s="3">
        <f>AVERAGE(G17:G19)</f>
        <v>4741.8247333333338</v>
      </c>
      <c r="I19" s="3">
        <f>_xlfn.STDEV.P(G17:G19)</f>
        <v>112.22503828639238</v>
      </c>
    </row>
    <row r="20" spans="1:9" x14ac:dyDescent="0.3">
      <c r="A20" t="s">
        <v>6</v>
      </c>
      <c r="B20">
        <v>251105</v>
      </c>
      <c r="C20" t="s">
        <v>7</v>
      </c>
      <c r="D20">
        <v>17</v>
      </c>
      <c r="E20" s="1">
        <f t="shared" si="0"/>
        <v>1.7000000000000002</v>
      </c>
      <c r="F20">
        <v>2.9013659999999999</v>
      </c>
      <c r="G20">
        <f t="shared" si="1"/>
        <v>4932.3222000000005</v>
      </c>
    </row>
    <row r="21" spans="1:9" x14ac:dyDescent="0.3">
      <c r="A21" t="s">
        <v>6</v>
      </c>
      <c r="B21">
        <v>251105</v>
      </c>
      <c r="C21" t="s">
        <v>7</v>
      </c>
      <c r="D21">
        <v>17</v>
      </c>
      <c r="E21" s="1">
        <f t="shared" si="0"/>
        <v>1.7000000000000002</v>
      </c>
      <c r="F21">
        <v>2.7990439999999999</v>
      </c>
      <c r="G21">
        <f t="shared" si="1"/>
        <v>4758.3748000000005</v>
      </c>
    </row>
    <row r="22" spans="1:9" x14ac:dyDescent="0.3">
      <c r="A22" t="s">
        <v>6</v>
      </c>
      <c r="B22">
        <v>251105</v>
      </c>
      <c r="C22" t="s">
        <v>7</v>
      </c>
      <c r="D22">
        <v>17</v>
      </c>
      <c r="E22" s="1">
        <f t="shared" si="0"/>
        <v>1.7000000000000002</v>
      </c>
      <c r="F22">
        <v>2.8891969999999998</v>
      </c>
      <c r="G22">
        <f t="shared" si="1"/>
        <v>4911.6349</v>
      </c>
      <c r="H22" s="3">
        <f>AVERAGE(G20:G22)</f>
        <v>4867.4439666666667</v>
      </c>
      <c r="I22" s="3">
        <f>_xlfn.STDEV.P(G20:G22)</f>
        <v>77.584592256209021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Mikael Løvig Larsen</dc:creator>
  <cp:lastModifiedBy>Mikael Løvig Larsen</cp:lastModifiedBy>
  <dcterms:created xsi:type="dcterms:W3CDTF">2015-06-05T18:19:34Z</dcterms:created>
  <dcterms:modified xsi:type="dcterms:W3CDTF">2025-12-01T12:45:16Z</dcterms:modified>
</cp:coreProperties>
</file>