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7992FA78-A176-4CFB-94E5-3E0FE14AB35C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10" i="1"/>
  <c r="G3" i="1"/>
  <c r="G2" i="1"/>
  <c r="H4" i="1"/>
  <c r="I22" i="1"/>
  <c r="I19" i="1"/>
  <c r="I16" i="1"/>
  <c r="I13" i="1"/>
  <c r="I7" i="1"/>
  <c r="I10" i="1"/>
  <c r="I4" i="1"/>
  <c r="H22" i="1"/>
  <c r="H19" i="1"/>
  <c r="H16" i="1"/>
  <c r="H7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<sst xmlns="http://schemas.openxmlformats.org/spreadsheetml/2006/main" count="52" uniqueCount="16">
  <si>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</si>
  <si>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</si>
  <si>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</si>
  <si>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</si>
  <si>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</si>
  <si>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</si>
  <si>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</si>
  <si>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</si>
  <si>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</si>
  <si>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Ammonium-N [g/L]
Tveskæg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</si>
  <si>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</si>
  <si>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</si>
  <si>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</si>
  <si>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>avg</t>
    </r>
    <r>
      <rPr>
        <sz val="11"/>
        <color theme="1"/>
        <rFont val="Calibri"/>
        <family val="2"/>
        <scheme val="minor"/>
      </rPr>
      <t xml:space="preserve"> [mg/m2]</t>
    </r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</si>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</sst>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H13" sqref="H13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9" width="13.33203125" customWidth="1"/>
  </cols>
  <sheetData>
    <row r="1" spans="1:12" ht="57.6" x14ac:dyDescent="0.3">
      <c r="A1" s="1" t="s">
        <v>0</v>
      </c>
      <c r="B1" s="1" t="s">
        <v>8</v>
      </c>
      <c r="C1" s="1" t="s">
        <v>1</v>
      </c>
      <c r="D1" s="1" t="s">
        <v>10</v>
      </c>
      <c r="E1" s="1" t="s">
        <v>11</v>
      </c>
      <c r="F1" s="1" t="s">
        <v>9</v>
      </c>
      <c r="G1" s="1" t="s">
        <v>12</v>
      </c>
      <c r="H1" s="1" t="s">
        <v>13</v>
      </c>
      <c r="I1" s="1" t="s">
        <v>14</v>
      </c>
      <c r="K1" t="s">
        <v>15</v>
      </c>
      <c r="L1" s="1"/>
    </row>
    <row r="2" spans="1:12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1.8466</v>
      </c>
      <c r="G2">
        <f>E2*F2*10^3</f>
        <v>5355.14</v>
      </c>
    </row>
    <row r="3" spans="1:12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1.9151419999999999</v>
      </c>
      <c r="G3">
        <f>E3*F3*10^3</f>
        <v>5553.9118000000008</v>
      </c>
    </row>
    <row r="4" spans="1:12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1.794495</v>
      </c>
      <c r="G4">
        <f t="shared" ref="G3:G22" si="1">E4*F4*10^3</f>
        <v>5204.0355000000009</v>
      </c>
      <c r="H4" s="2">
        <f>AVERAGE(G2:G4)</f>
        <v>5371.0291000000007</v>
      </c>
      <c r="I4" s="2">
        <f>_xlfn.STDEV.P(G2:G4)</f>
        <v>143.27759524673306</v>
      </c>
    </row>
    <row r="5" spans="1:12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1.8043929999999999</v>
      </c>
      <c r="G5">
        <f t="shared" si="1"/>
        <v>5232.739700000001</v>
      </c>
    </row>
    <row r="6" spans="1:12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1.7271240000000001</v>
      </c>
      <c r="G6">
        <f t="shared" si="1"/>
        <v>5008.6596000000009</v>
      </c>
    </row>
    <row r="7" spans="1:12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1.866835</v>
      </c>
      <c r="G7">
        <f t="shared" si="1"/>
        <v>5413.8215000000009</v>
      </c>
      <c r="H7" s="2">
        <f>AVERAGE(G5:G7)</f>
        <v>5218.4069333333346</v>
      </c>
      <c r="I7" s="2">
        <f>_xlfn.STDEV.P(G5:G7)</f>
        <v>165.71685179474727</v>
      </c>
    </row>
    <row r="8" spans="1:12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1.8385579999999999</v>
      </c>
      <c r="G8">
        <f t="shared" si="1"/>
        <v>5331.8182000000006</v>
      </c>
    </row>
    <row r="9" spans="1:12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1.9110240000000001</v>
      </c>
      <c r="G9">
        <f t="shared" si="1"/>
        <v>5541.9696000000004</v>
      </c>
    </row>
    <row r="10" spans="1:12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1.9051800000000001</v>
      </c>
      <c r="G10">
        <f t="shared" si="1"/>
        <v>5525.0220000000008</v>
      </c>
      <c r="H10" s="2">
        <f>AVERAGE(G8:G10)</f>
        <v>5466.2699333333339</v>
      </c>
      <c r="I10" s="2">
        <f>_xlfn.STDEV.P(G8:G10)</f>
        <v>95.323158199510388</v>
      </c>
    </row>
    <row r="11" spans="1:12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2.5810770000000001</v>
      </c>
      <c r="G11">
        <f t="shared" si="1"/>
        <v>4387.8309000000008</v>
      </c>
    </row>
    <row r="12" spans="1:12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2.3806069999999999</v>
      </c>
      <c r="G12">
        <f t="shared" si="1"/>
        <v>4047.0319000000004</v>
      </c>
    </row>
    <row r="13" spans="1:12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2.7910710000000001</v>
      </c>
      <c r="G13">
        <f t="shared" si="1"/>
        <v>4744.8207000000011</v>
      </c>
      <c r="H13" s="2">
        <f>AVERAGE(G11:G13)</f>
        <v>4393.2278333333343</v>
      </c>
      <c r="I13" s="2">
        <f>_xlfn.STDEV.P(G11:G13)</f>
        <v>284.89664502343487</v>
      </c>
    </row>
    <row r="14" spans="1:12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2.661114</v>
      </c>
      <c r="G14">
        <f t="shared" si="1"/>
        <v>4523.8938000000007</v>
      </c>
    </row>
    <row r="15" spans="1:12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2.7869969999999999</v>
      </c>
      <c r="G15">
        <f t="shared" si="1"/>
        <v>4737.8949000000002</v>
      </c>
    </row>
    <row r="16" spans="1:12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2.7585519999999999</v>
      </c>
      <c r="G16">
        <f t="shared" si="1"/>
        <v>4689.5384000000004</v>
      </c>
      <c r="H16" s="2">
        <f>AVERAGE(G14:G16)</f>
        <v>4650.4423666666671</v>
      </c>
      <c r="I16" s="2">
        <f>_xlfn.STDEV.P(G14:G16)</f>
        <v>91.635119057790916</v>
      </c>
    </row>
    <row r="17" spans="1:9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2.882666</v>
      </c>
      <c r="G17">
        <f t="shared" si="1"/>
        <v>4900.5322000000006</v>
      </c>
    </row>
    <row r="18" spans="1:9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2.7421579999999999</v>
      </c>
      <c r="G18">
        <f t="shared" si="1"/>
        <v>4661.6686000000009</v>
      </c>
    </row>
    <row r="19" spans="1:9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2.7431019999999999</v>
      </c>
      <c r="G19">
        <f t="shared" si="1"/>
        <v>4663.2734</v>
      </c>
      <c r="H19" s="2">
        <f>AVERAGE(G17:G19)</f>
        <v>4741.8247333333338</v>
      </c>
      <c r="I19" s="2">
        <f>_xlfn.STDEV.P(G17:G19)</f>
        <v>112.22503828639238</v>
      </c>
    </row>
    <row r="20" spans="1:9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2.9013659999999999</v>
      </c>
      <c r="G20">
        <f t="shared" si="1"/>
        <v>4932.3222000000005</v>
      </c>
    </row>
    <row r="21" spans="1:9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2.7990439999999999</v>
      </c>
      <c r="G21">
        <f t="shared" si="1"/>
        <v>4758.3748000000005</v>
      </c>
    </row>
    <row r="22" spans="1:9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2.8891969999999998</v>
      </c>
      <c r="G22">
        <f t="shared" si="1"/>
        <v>4911.6349</v>
      </c>
      <c r="H22" s="2">
        <f>AVERAGE(G20:G22)</f>
        <v>4867.4439666666667</v>
      </c>
      <c r="I22" s="2">
        <f>_xlfn.STDEV.P(G20:G22)</f>
        <v>77.584592256209021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2026-03-05T15:03:12Z</dcterms:modified>
</cp:coreProperties>
</file>