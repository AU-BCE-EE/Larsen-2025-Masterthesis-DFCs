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ikae\Desktop\Github - speciale\Larsen-2025-Masterthesis-DFCs\Lab-acidification-test-before-lab-field-trails\"/>
    </mc:Choice>
  </mc:AlternateContent>
  <xr:revisionPtr revIDLastSave="0" documentId="13_ncr:1_{8D38DFCA-39CF-4FFB-9191-B6E09467633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w data" sheetId="1" r:id="rId1"/>
    <sheet name="Data overview" sheetId="2" r:id="rId2"/>
    <sheet name="Constan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" l="1"/>
  <c r="C3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4" i="2"/>
  <c r="C5" i="2"/>
  <c r="C6" i="2"/>
  <c r="C2" i="2"/>
  <c r="G27" i="2"/>
  <c r="F27" i="2"/>
  <c r="E27" i="2"/>
  <c r="D27" i="2"/>
  <c r="B2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3" i="2"/>
  <c r="B1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" i="2"/>
  <c r="F3" i="2"/>
  <c r="F4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" i="2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3" i="1"/>
  <c r="AC2" i="1"/>
  <c r="AB2" i="1"/>
  <c r="Y4" i="1" l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3" i="1"/>
  <c r="Z2" i="1"/>
  <c r="Y2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3" i="1"/>
  <c r="V2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3" i="1"/>
  <c r="H2" i="1"/>
  <c r="G2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4" i="1"/>
  <c r="D5" i="1"/>
  <c r="D6" i="1"/>
  <c r="D7" i="1"/>
  <c r="D8" i="1"/>
  <c r="D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tc={F56EF6E3-8A60-4D32-8BFF-684888C4B581}</author>
  </authors>
  <commentList>
    <comment ref="H3" authorId="0" shapeId="0" xr:uid="{F56EF6E3-8A60-4D32-8BFF-684888C4B581}">
      <text>
        <t>[Threaded comment]
Your version of Excel allows you to read this threaded comment; however, any edits to it will get removed if the file is opened in a newer version of Excel. Learn more: https://go.microsoft.com/fwlink/?linkid=870924
Comment:
    Why is pH rising over the triplicates? Because it is slowly increasing in temperature from storing inside? What is the pH dependance on temperaure in slurry?</t>
      </text>
    </comment>
  </commentList>
</comments>
</file>

<file path=xl/sharedStrings.xml><?xml version="1.0" encoding="utf-8"?>
<sst xmlns="http://schemas.openxmlformats.org/spreadsheetml/2006/main" count="24" uniqueCount="21">
  <si>
    <t>H2SO4 A</t>
  </si>
  <si>
    <r>
      <t>V(acid) [</t>
    </r>
    <r>
      <rPr>
        <sz val="11"/>
        <color theme="1"/>
        <rFont val="Aptos Narrow"/>
        <family val="2"/>
      </rPr>
      <t>μ</t>
    </r>
    <r>
      <rPr>
        <sz val="11"/>
        <color theme="1"/>
        <rFont val="Calibri"/>
        <family val="2"/>
      </rPr>
      <t>L]</t>
    </r>
  </si>
  <si>
    <t>pH</t>
  </si>
  <si>
    <t>H2SO4 B</t>
  </si>
  <si>
    <t>H2SO4 C</t>
  </si>
  <si>
    <t>pH (avg)</t>
  </si>
  <si>
    <t>pH (std-dev)</t>
  </si>
  <si>
    <t>AA A</t>
  </si>
  <si>
    <t>AA B</t>
  </si>
  <si>
    <t>AA C</t>
  </si>
  <si>
    <t>pH(avg)</t>
  </si>
  <si>
    <t>pH( (stdev)</t>
  </si>
  <si>
    <t>V [mL]</t>
  </si>
  <si>
    <t>pH(AA) avg</t>
  </si>
  <si>
    <t>pH(AA) stdev</t>
  </si>
  <si>
    <t>pH(H2SO4) avg</t>
  </si>
  <si>
    <t>pH(H2SO4) stdev</t>
  </si>
  <si>
    <t>m(slurry) [Ton]</t>
  </si>
  <si>
    <t>V(acid) / m(slurry) [L/Ton]</t>
  </si>
  <si>
    <r>
      <rPr>
        <sz val="11"/>
        <color theme="1"/>
        <rFont val="Aptos Narrow"/>
        <family val="2"/>
      </rPr>
      <t>ρ</t>
    </r>
    <r>
      <rPr>
        <sz val="11"/>
        <color theme="1"/>
        <rFont val="Calibri"/>
        <family val="2"/>
      </rPr>
      <t>(H2SO4) [g/mL]</t>
    </r>
  </si>
  <si>
    <t>V(H2SO4) / m(slurry) [kg/Ton]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</si>
</sst>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70" fontId="0" fillId="0" borderId="0" xfId="0" applyNumberFormat="1"/>
    <xf numFmtId="0" fontId="1" fillId="0" borderId="0" xfId="0" applyFont="1"/>
    <xf numFmtId="170" fontId="0" fillId="2" borderId="0" xfId="0" applyNumberFormat="1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'Raw data'!$A$3:$A$28</c:f>
              <c:numCache>
                <c:formatCode>General</c:formatCode>
                <c:ptCount val="26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</c:numCache>
            </c:numRef>
          </c:xVal>
          <c:yVal>
            <c:numRef>
              <c:f>'Raw data'!$B$3:$B$28</c:f>
              <c:numCache>
                <c:formatCode>0.00</c:formatCode>
                <c:ptCount val="26"/>
                <c:pt idx="0">
                  <c:v>7.34</c:v>
                </c:pt>
                <c:pt idx="1">
                  <c:v>6.98</c:v>
                </c:pt>
                <c:pt idx="2">
                  <c:v>6.78</c:v>
                </c:pt>
                <c:pt idx="3">
                  <c:v>6.61</c:v>
                </c:pt>
                <c:pt idx="4">
                  <c:v>6.49</c:v>
                </c:pt>
                <c:pt idx="5">
                  <c:v>6.31</c:v>
                </c:pt>
                <c:pt idx="6">
                  <c:v>6.2</c:v>
                </c:pt>
                <c:pt idx="7">
                  <c:v>6.07</c:v>
                </c:pt>
                <c:pt idx="8">
                  <c:v>5.94</c:v>
                </c:pt>
                <c:pt idx="9">
                  <c:v>5.84</c:v>
                </c:pt>
                <c:pt idx="10">
                  <c:v>5.73</c:v>
                </c:pt>
                <c:pt idx="11">
                  <c:v>5.5</c:v>
                </c:pt>
                <c:pt idx="12">
                  <c:v>5.46</c:v>
                </c:pt>
                <c:pt idx="13">
                  <c:v>5.43</c:v>
                </c:pt>
                <c:pt idx="14">
                  <c:v>4.97</c:v>
                </c:pt>
                <c:pt idx="15">
                  <c:v>4.78</c:v>
                </c:pt>
                <c:pt idx="16">
                  <c:v>4.7699999999999996</c:v>
                </c:pt>
                <c:pt idx="17">
                  <c:v>4.7699999999999996</c:v>
                </c:pt>
                <c:pt idx="18">
                  <c:v>4.59</c:v>
                </c:pt>
                <c:pt idx="19">
                  <c:v>4.46</c:v>
                </c:pt>
                <c:pt idx="20">
                  <c:v>4.21</c:v>
                </c:pt>
                <c:pt idx="21">
                  <c:v>4.08</c:v>
                </c:pt>
                <c:pt idx="22">
                  <c:v>3.95</c:v>
                </c:pt>
                <c:pt idx="23">
                  <c:v>3.82</c:v>
                </c:pt>
                <c:pt idx="24">
                  <c:v>3.75</c:v>
                </c:pt>
                <c:pt idx="25">
                  <c:v>2.85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60-4E96-B57D-32E7DCA1FC0F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'Raw data'!$D$3:$D$28</c:f>
              <c:numCache>
                <c:formatCode>General</c:formatCode>
                <c:ptCount val="26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</c:numCache>
            </c:numRef>
          </c:xVal>
          <c:yVal>
            <c:numRef>
              <c:f>'Raw data'!$E$3:$E$28</c:f>
              <c:numCache>
                <c:formatCode>0.00</c:formatCode>
                <c:ptCount val="26"/>
                <c:pt idx="0">
                  <c:v>7.43</c:v>
                </c:pt>
                <c:pt idx="1">
                  <c:v>6.99</c:v>
                </c:pt>
                <c:pt idx="2">
                  <c:v>6.69</c:v>
                </c:pt>
                <c:pt idx="3">
                  <c:v>6.48</c:v>
                </c:pt>
                <c:pt idx="4">
                  <c:v>6.15</c:v>
                </c:pt>
                <c:pt idx="5">
                  <c:v>6.2</c:v>
                </c:pt>
                <c:pt idx="6">
                  <c:v>6.06</c:v>
                </c:pt>
                <c:pt idx="7">
                  <c:v>5.95</c:v>
                </c:pt>
                <c:pt idx="8">
                  <c:v>5.8</c:v>
                </c:pt>
                <c:pt idx="9">
                  <c:v>5.73</c:v>
                </c:pt>
                <c:pt idx="10">
                  <c:v>5.49</c:v>
                </c:pt>
                <c:pt idx="11">
                  <c:v>5.35</c:v>
                </c:pt>
                <c:pt idx="12">
                  <c:v>5.2</c:v>
                </c:pt>
                <c:pt idx="13">
                  <c:v>5.18</c:v>
                </c:pt>
                <c:pt idx="14">
                  <c:v>5.1100000000000003</c:v>
                </c:pt>
                <c:pt idx="15">
                  <c:v>4.8899999999999997</c:v>
                </c:pt>
                <c:pt idx="16">
                  <c:v>4.7300000000000004</c:v>
                </c:pt>
                <c:pt idx="17">
                  <c:v>4.66</c:v>
                </c:pt>
                <c:pt idx="18">
                  <c:v>4.46</c:v>
                </c:pt>
                <c:pt idx="19">
                  <c:v>4.2300000000000004</c:v>
                </c:pt>
                <c:pt idx="20">
                  <c:v>3.8</c:v>
                </c:pt>
                <c:pt idx="21">
                  <c:v>3.31</c:v>
                </c:pt>
                <c:pt idx="22">
                  <c:v>3.08</c:v>
                </c:pt>
                <c:pt idx="23">
                  <c:v>3.05</c:v>
                </c:pt>
                <c:pt idx="24">
                  <c:v>2.39</c:v>
                </c:pt>
                <c:pt idx="25">
                  <c:v>2.12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60-4E96-B57D-32E7DCA1FC0F}"/>
            </c:ext>
          </c:extLst>
        </c:ser>
        <c:ser>
          <c:idx val="2"/>
          <c:order val="2"/>
          <c:tx>
            <c:v>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'Raw data'!$G$3:$G$28</c:f>
              <c:numCache>
                <c:formatCode>General</c:formatCode>
                <c:ptCount val="26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</c:numCache>
            </c:numRef>
          </c:xVal>
          <c:yVal>
            <c:numRef>
              <c:f>'Raw data'!$H$3:$H$28</c:f>
              <c:numCache>
                <c:formatCode>General</c:formatCode>
                <c:ptCount val="26"/>
                <c:pt idx="0">
                  <c:v>7.19</c:v>
                </c:pt>
                <c:pt idx="1">
                  <c:v>6.92</c:v>
                </c:pt>
                <c:pt idx="2">
                  <c:v>6.63</c:v>
                </c:pt>
                <c:pt idx="3">
                  <c:v>6.46</c:v>
                </c:pt>
                <c:pt idx="4">
                  <c:v>6.32</c:v>
                </c:pt>
                <c:pt idx="5">
                  <c:v>6.18</c:v>
                </c:pt>
                <c:pt idx="6">
                  <c:v>6.04</c:v>
                </c:pt>
                <c:pt idx="7">
                  <c:v>5.88</c:v>
                </c:pt>
                <c:pt idx="8">
                  <c:v>5.71</c:v>
                </c:pt>
                <c:pt idx="9">
                  <c:v>5.52</c:v>
                </c:pt>
                <c:pt idx="10">
                  <c:v>5.33</c:v>
                </c:pt>
                <c:pt idx="11">
                  <c:v>5.13</c:v>
                </c:pt>
                <c:pt idx="12">
                  <c:v>4.93</c:v>
                </c:pt>
                <c:pt idx="13">
                  <c:v>4.76</c:v>
                </c:pt>
                <c:pt idx="14">
                  <c:v>4.53</c:v>
                </c:pt>
                <c:pt idx="15">
                  <c:v>4.43</c:v>
                </c:pt>
                <c:pt idx="16">
                  <c:v>4.22</c:v>
                </c:pt>
                <c:pt idx="17">
                  <c:v>4.01</c:v>
                </c:pt>
                <c:pt idx="18">
                  <c:v>3.75</c:v>
                </c:pt>
                <c:pt idx="19">
                  <c:v>3.42</c:v>
                </c:pt>
                <c:pt idx="20">
                  <c:v>2.98</c:v>
                </c:pt>
                <c:pt idx="21">
                  <c:v>2.62</c:v>
                </c:pt>
                <c:pt idx="22">
                  <c:v>2.38</c:v>
                </c:pt>
                <c:pt idx="23">
                  <c:v>2.16</c:v>
                </c:pt>
                <c:pt idx="24">
                  <c:v>1.96</c:v>
                </c:pt>
                <c:pt idx="25">
                  <c:v>1.86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B60-4E96-B57D-32E7DCA1F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8193727"/>
        <c:axId val="2078191327"/>
      </c:scatterChart>
      <c:valAx>
        <c:axId val="2078193727"/>
        <c:scaling>
          <c:orientation val="minMax"/>
          <c:max val="25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 baseline="0">
                    <a:solidFill>
                      <a:schemeClr val="tx1"/>
                    </a:solidFill>
                  </a:rPr>
                  <a:t>V(H2SO4) [</a:t>
                </a:r>
                <a:r>
                  <a:rPr lang="el-GR" baseline="0">
                    <a:solidFill>
                      <a:schemeClr val="tx1"/>
                    </a:solidFill>
                  </a:rPr>
                  <a:t>μ</a:t>
                </a:r>
                <a:r>
                  <a:rPr lang="da-DK" baseline="0">
                    <a:solidFill>
                      <a:schemeClr val="tx1"/>
                    </a:solidFill>
                  </a:rPr>
                  <a:t>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2078191327"/>
        <c:crosses val="autoZero"/>
        <c:crossBetween val="midCat"/>
      </c:valAx>
      <c:valAx>
        <c:axId val="2078191327"/>
        <c:scaling>
          <c:orientation val="minMax"/>
          <c:max val="8"/>
          <c:min val="1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 baseline="0">
                    <a:solidFill>
                      <a:schemeClr val="tx1"/>
                    </a:solidFill>
                  </a:rPr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0.00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2078193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'Raw data'!$V$3:$V$28</c:f>
              <c:numCache>
                <c:formatCode>General</c:formatCode>
                <c:ptCount val="26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</c:numCache>
            </c:numRef>
          </c:xVal>
          <c:yVal>
            <c:numRef>
              <c:f>'Raw data'!$W$3:$W$28</c:f>
              <c:numCache>
                <c:formatCode>General</c:formatCode>
                <c:ptCount val="26"/>
                <c:pt idx="0">
                  <c:v>7.16</c:v>
                </c:pt>
                <c:pt idx="1">
                  <c:v>7.03</c:v>
                </c:pt>
                <c:pt idx="2">
                  <c:v>6.88</c:v>
                </c:pt>
                <c:pt idx="3">
                  <c:v>6.73</c:v>
                </c:pt>
                <c:pt idx="4">
                  <c:v>6.79</c:v>
                </c:pt>
                <c:pt idx="5">
                  <c:v>6.68</c:v>
                </c:pt>
                <c:pt idx="6">
                  <c:v>6.66</c:v>
                </c:pt>
                <c:pt idx="7">
                  <c:v>6.67</c:v>
                </c:pt>
                <c:pt idx="8">
                  <c:v>6.35</c:v>
                </c:pt>
                <c:pt idx="9">
                  <c:v>6.24</c:v>
                </c:pt>
                <c:pt idx="10">
                  <c:v>6.16</c:v>
                </c:pt>
                <c:pt idx="11">
                  <c:v>6.09</c:v>
                </c:pt>
                <c:pt idx="12">
                  <c:v>6.05</c:v>
                </c:pt>
                <c:pt idx="13">
                  <c:v>5.99</c:v>
                </c:pt>
                <c:pt idx="14">
                  <c:v>5.93</c:v>
                </c:pt>
                <c:pt idx="15">
                  <c:v>5.88</c:v>
                </c:pt>
                <c:pt idx="16">
                  <c:v>5.79</c:v>
                </c:pt>
                <c:pt idx="17">
                  <c:v>5.74</c:v>
                </c:pt>
                <c:pt idx="18">
                  <c:v>5.69</c:v>
                </c:pt>
                <c:pt idx="19">
                  <c:v>5.63</c:v>
                </c:pt>
                <c:pt idx="20">
                  <c:v>5.57</c:v>
                </c:pt>
                <c:pt idx="21">
                  <c:v>5.51</c:v>
                </c:pt>
                <c:pt idx="22">
                  <c:v>5.47</c:v>
                </c:pt>
                <c:pt idx="23">
                  <c:v>5.41</c:v>
                </c:pt>
                <c:pt idx="24">
                  <c:v>5.36</c:v>
                </c:pt>
                <c:pt idx="25">
                  <c:v>5.31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B3-4188-8A39-7B3720CACDFA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'Raw data'!$Y$3:$Y$28</c:f>
              <c:numCache>
                <c:formatCode>General</c:formatCode>
                <c:ptCount val="26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</c:numCache>
            </c:numRef>
          </c:xVal>
          <c:yVal>
            <c:numRef>
              <c:f>'Raw data'!$Z$3:$Z$28</c:f>
              <c:numCache>
                <c:formatCode>General</c:formatCode>
                <c:ptCount val="26"/>
                <c:pt idx="0">
                  <c:v>7.27</c:v>
                </c:pt>
                <c:pt idx="1">
                  <c:v>7.02</c:v>
                </c:pt>
                <c:pt idx="2">
                  <c:v>6.87</c:v>
                </c:pt>
                <c:pt idx="3">
                  <c:v>6.73</c:v>
                </c:pt>
                <c:pt idx="4">
                  <c:v>6.62</c:v>
                </c:pt>
                <c:pt idx="5">
                  <c:v>6.52</c:v>
                </c:pt>
                <c:pt idx="6">
                  <c:v>6.45</c:v>
                </c:pt>
                <c:pt idx="7">
                  <c:v>6.39</c:v>
                </c:pt>
                <c:pt idx="8">
                  <c:v>6.33</c:v>
                </c:pt>
                <c:pt idx="9">
                  <c:v>6.26</c:v>
                </c:pt>
                <c:pt idx="10">
                  <c:v>6.19</c:v>
                </c:pt>
                <c:pt idx="11">
                  <c:v>6.13</c:v>
                </c:pt>
                <c:pt idx="12">
                  <c:v>6.07</c:v>
                </c:pt>
                <c:pt idx="13" formatCode="0.00">
                  <c:v>6</c:v>
                </c:pt>
                <c:pt idx="14">
                  <c:v>5.94</c:v>
                </c:pt>
                <c:pt idx="15">
                  <c:v>5.87</c:v>
                </c:pt>
                <c:pt idx="16">
                  <c:v>5.81</c:v>
                </c:pt>
                <c:pt idx="17">
                  <c:v>5.74</c:v>
                </c:pt>
                <c:pt idx="18">
                  <c:v>5.67</c:v>
                </c:pt>
                <c:pt idx="19">
                  <c:v>5.61</c:v>
                </c:pt>
                <c:pt idx="20">
                  <c:v>5.54</c:v>
                </c:pt>
                <c:pt idx="21">
                  <c:v>5.49</c:v>
                </c:pt>
                <c:pt idx="22">
                  <c:v>5.43</c:v>
                </c:pt>
                <c:pt idx="23">
                  <c:v>5.38</c:v>
                </c:pt>
                <c:pt idx="24">
                  <c:v>5.34</c:v>
                </c:pt>
                <c:pt idx="25">
                  <c:v>5.29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B3-4188-8A39-7B3720CACDFA}"/>
            </c:ext>
          </c:extLst>
        </c:ser>
        <c:ser>
          <c:idx val="2"/>
          <c:order val="2"/>
          <c:tx>
            <c:v>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'Raw data'!$AB$3:$AB$28</c:f>
              <c:numCache>
                <c:formatCode>General</c:formatCode>
                <c:ptCount val="26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</c:numCache>
            </c:numRef>
          </c:xVal>
          <c:yVal>
            <c:numRef>
              <c:f>'Raw data'!$AC$3:$AC$28</c:f>
              <c:numCache>
                <c:formatCode>General</c:formatCode>
                <c:ptCount val="26"/>
                <c:pt idx="0">
                  <c:v>7.16</c:v>
                </c:pt>
                <c:pt idx="1">
                  <c:v>6.97</c:v>
                </c:pt>
                <c:pt idx="2">
                  <c:v>6.85</c:v>
                </c:pt>
                <c:pt idx="3">
                  <c:v>6.71</c:v>
                </c:pt>
                <c:pt idx="4">
                  <c:v>6.65</c:v>
                </c:pt>
                <c:pt idx="5">
                  <c:v>6.57</c:v>
                </c:pt>
                <c:pt idx="6">
                  <c:v>6.49</c:v>
                </c:pt>
                <c:pt idx="7">
                  <c:v>6.41</c:v>
                </c:pt>
                <c:pt idx="8">
                  <c:v>6.34</c:v>
                </c:pt>
                <c:pt idx="9">
                  <c:v>6.34</c:v>
                </c:pt>
                <c:pt idx="10">
                  <c:v>6.21</c:v>
                </c:pt>
                <c:pt idx="11">
                  <c:v>6.14</c:v>
                </c:pt>
                <c:pt idx="12">
                  <c:v>6.09</c:v>
                </c:pt>
                <c:pt idx="13">
                  <c:v>6.01</c:v>
                </c:pt>
                <c:pt idx="14">
                  <c:v>5.94</c:v>
                </c:pt>
                <c:pt idx="15">
                  <c:v>5.88</c:v>
                </c:pt>
                <c:pt idx="16">
                  <c:v>5.81</c:v>
                </c:pt>
                <c:pt idx="17">
                  <c:v>5.75</c:v>
                </c:pt>
                <c:pt idx="18">
                  <c:v>5.69</c:v>
                </c:pt>
                <c:pt idx="19">
                  <c:v>5.62</c:v>
                </c:pt>
                <c:pt idx="20">
                  <c:v>5.57</c:v>
                </c:pt>
                <c:pt idx="21">
                  <c:v>5.52</c:v>
                </c:pt>
                <c:pt idx="22">
                  <c:v>5.47</c:v>
                </c:pt>
                <c:pt idx="23">
                  <c:v>5.42</c:v>
                </c:pt>
                <c:pt idx="24">
                  <c:v>5.37</c:v>
                </c:pt>
                <c:pt idx="25">
                  <c:v>5.34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4B3-4188-8A39-7B3720CAC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3761727"/>
        <c:axId val="1733762207"/>
      </c:scatterChart>
      <c:valAx>
        <c:axId val="1733761727"/>
        <c:scaling>
          <c:orientation val="minMax"/>
          <c:max val="25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 baseline="0">
                    <a:solidFill>
                      <a:schemeClr val="tx1"/>
                    </a:solidFill>
                  </a:rPr>
                  <a:t>V(AA) [</a:t>
                </a:r>
                <a:r>
                  <a:rPr lang="el-GR" baseline="0">
                    <a:solidFill>
                      <a:schemeClr val="tx1"/>
                    </a:solidFill>
                  </a:rPr>
                  <a:t>μ</a:t>
                </a:r>
                <a:r>
                  <a:rPr lang="da-DK" baseline="0">
                    <a:solidFill>
                      <a:schemeClr val="tx1"/>
                    </a:solidFill>
                  </a:rPr>
                  <a:t>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733762207"/>
        <c:crosses val="autoZero"/>
        <c:crossBetween val="midCat"/>
      </c:valAx>
      <c:valAx>
        <c:axId val="1733762207"/>
        <c:scaling>
          <c:orientation val="minMax"/>
          <c:max val="8"/>
          <c:min val="1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 baseline="0">
                    <a:solidFill>
                      <a:schemeClr val="tx1"/>
                    </a:solidFill>
                  </a:rPr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733761727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Cattle AA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overview'!$A$3:$A$27</c:f>
              <c:numCache>
                <c:formatCode>0.0</c:formatCode>
                <c:ptCount val="25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</c:numCache>
            </c:numRef>
          </c:xVal>
          <c:yVal>
            <c:numRef>
              <c:f>'Data overview'!$D$2:$D$26</c:f>
              <c:numCache>
                <c:formatCode>0.00</c:formatCode>
                <c:ptCount val="25"/>
                <c:pt idx="0">
                  <c:v>7.1966666666666663</c:v>
                </c:pt>
                <c:pt idx="1">
                  <c:v>7.0066666666666668</c:v>
                </c:pt>
                <c:pt idx="2">
                  <c:v>6.8666666666666671</c:v>
                </c:pt>
                <c:pt idx="3">
                  <c:v>6.7233333333333336</c:v>
                </c:pt>
                <c:pt idx="4">
                  <c:v>6.6866666666666674</c:v>
                </c:pt>
                <c:pt idx="5">
                  <c:v>6.59</c:v>
                </c:pt>
                <c:pt idx="6">
                  <c:v>6.5333333333333341</c:v>
                </c:pt>
                <c:pt idx="7">
                  <c:v>6.4899999999999993</c:v>
                </c:pt>
                <c:pt idx="8">
                  <c:v>6.34</c:v>
                </c:pt>
                <c:pt idx="9">
                  <c:v>6.28</c:v>
                </c:pt>
                <c:pt idx="10">
                  <c:v>6.1866666666666674</c:v>
                </c:pt>
                <c:pt idx="11">
                  <c:v>6.12</c:v>
                </c:pt>
                <c:pt idx="12">
                  <c:v>6.07</c:v>
                </c:pt>
                <c:pt idx="13">
                  <c:v>6</c:v>
                </c:pt>
                <c:pt idx="14">
                  <c:v>5.9366666666666674</c:v>
                </c:pt>
                <c:pt idx="15">
                  <c:v>5.876666666666666</c:v>
                </c:pt>
                <c:pt idx="16">
                  <c:v>5.8033333333333337</c:v>
                </c:pt>
                <c:pt idx="17">
                  <c:v>5.7433333333333332</c:v>
                </c:pt>
                <c:pt idx="18">
                  <c:v>5.6833333333333336</c:v>
                </c:pt>
                <c:pt idx="19">
                  <c:v>5.62</c:v>
                </c:pt>
                <c:pt idx="20">
                  <c:v>5.56</c:v>
                </c:pt>
                <c:pt idx="21">
                  <c:v>5.5066666666666668</c:v>
                </c:pt>
                <c:pt idx="22">
                  <c:v>5.4566666666666661</c:v>
                </c:pt>
                <c:pt idx="23">
                  <c:v>5.4033333333333333</c:v>
                </c:pt>
                <c:pt idx="24">
                  <c:v>5.3566666666666665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DC-4C86-8A15-4CFDD93EB546}"/>
            </c:ext>
          </c:extLst>
        </c:ser>
        <c:ser>
          <c:idx val="1"/>
          <c:order val="1"/>
          <c:tx>
            <c:v>Cattle H2SO4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'Data overview'!$A$3:$A$27</c:f>
              <c:numCache>
                <c:formatCode>0.0</c:formatCode>
                <c:ptCount val="25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</c:numCache>
            </c:numRef>
          </c:xVal>
          <c:yVal>
            <c:numRef>
              <c:f>'Data overview'!$F$2:$F$26</c:f>
              <c:numCache>
                <c:formatCode>0.00</c:formatCode>
                <c:ptCount val="25"/>
                <c:pt idx="0">
                  <c:v>7.32</c:v>
                </c:pt>
                <c:pt idx="1">
                  <c:v>6.9633333333333338</c:v>
                </c:pt>
                <c:pt idx="2">
                  <c:v>6.7</c:v>
                </c:pt>
                <c:pt idx="3">
                  <c:v>6.5166666666666666</c:v>
                </c:pt>
                <c:pt idx="4">
                  <c:v>6.32</c:v>
                </c:pt>
                <c:pt idx="5">
                  <c:v>6.2299999999999995</c:v>
                </c:pt>
                <c:pt idx="6">
                  <c:v>6.1000000000000005</c:v>
                </c:pt>
                <c:pt idx="7">
                  <c:v>5.9666666666666659</c:v>
                </c:pt>
                <c:pt idx="8">
                  <c:v>5.8166666666666664</c:v>
                </c:pt>
                <c:pt idx="9">
                  <c:v>5.6966666666666663</c:v>
                </c:pt>
                <c:pt idx="10">
                  <c:v>5.5166666666666666</c:v>
                </c:pt>
                <c:pt idx="11">
                  <c:v>5.3266666666666671</c:v>
                </c:pt>
                <c:pt idx="12">
                  <c:v>5.1966666666666663</c:v>
                </c:pt>
                <c:pt idx="13">
                  <c:v>5.1233333333333331</c:v>
                </c:pt>
                <c:pt idx="14">
                  <c:v>4.87</c:v>
                </c:pt>
                <c:pt idx="15">
                  <c:v>4.7</c:v>
                </c:pt>
                <c:pt idx="16">
                  <c:v>4.5733333333333333</c:v>
                </c:pt>
                <c:pt idx="17">
                  <c:v>4.4799999999999995</c:v>
                </c:pt>
                <c:pt idx="18">
                  <c:v>4.2666666666666666</c:v>
                </c:pt>
                <c:pt idx="19">
                  <c:v>4.0366666666666671</c:v>
                </c:pt>
                <c:pt idx="20">
                  <c:v>3.6633333333333336</c:v>
                </c:pt>
                <c:pt idx="21">
                  <c:v>3.3366666666666673</c:v>
                </c:pt>
                <c:pt idx="22">
                  <c:v>3.1366666666666667</c:v>
                </c:pt>
                <c:pt idx="23">
                  <c:v>3.01</c:v>
                </c:pt>
                <c:pt idx="24">
                  <c:v>2.7000000000000006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DC-4C86-8A15-4CFDD93EB5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8946751"/>
        <c:axId val="238964031"/>
      </c:scatterChart>
      <c:valAx>
        <c:axId val="238946751"/>
        <c:scaling>
          <c:orientation val="minMax"/>
          <c:max val="2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 baseline="0">
                    <a:solidFill>
                      <a:schemeClr val="tx1"/>
                    </a:solidFill>
                  </a:rPr>
                  <a:t>V(acid) [mL]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238964031"/>
        <c:crosses val="autoZero"/>
        <c:crossBetween val="midCat"/>
      </c:valAx>
      <c:valAx>
        <c:axId val="238964031"/>
        <c:scaling>
          <c:orientation val="minMax"/>
          <c:max val="8"/>
          <c:min val="1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0.00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238946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15240</xdr:colOff>
      <xdr:row>1</xdr:row>
      <xdr:rowOff>15240</xdr:rowOff>
    </xdr:from>
    <xdr:to>
      <xdr:col>20</xdr:col>
      <xdr:colOff>22860</xdr:colOff>
      <xdr:row>15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9C8AF3-CDD1-6A67-C16D-29AA36902E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0</xdr:colOff>
      <xdr:row>0</xdr:row>
      <xdr:rowOff>118110</xdr:rowOff>
    </xdr:from>
    <xdr:to>
      <xdr:col>40</xdr:col>
      <xdr:colOff>601980</xdr:colOff>
      <xdr:row>15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921207-8CB3-8D62-05C5-F680BABE88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41910</xdr:rowOff>
    </xdr:from>
    <xdr:to>
      <xdr:col>14</xdr:col>
      <xdr:colOff>342900</xdr:colOff>
      <xdr:row>15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F7D9A2-4465-63F6-3B87-2212CAE329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ikael Løvig Larsen" id="{7BC71FBB-EFE0-43AA-AE5E-E1355B3A0023}" userId="S::au705323@uni.au.dk::501b5c6e-34b9-41fc-bcf2-dc0650cde63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3" dT="2025-11-11T12:16:53.88" personId="{7BC71FBB-EFE0-43AA-AE5E-E1355B3A0023}" id="{F56EF6E3-8A60-4D32-8BFF-684888C4B581}">
    <text>Why is pH rising over the triplicates? Because it is slowly increasing in temperature from storing inside? What is the pH dependance on temperaure in slurry?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8"/>
  <sheetViews>
    <sheetView workbookViewId="0">
      <selection activeCell="L2" sqref="L2"/>
    </sheetView>
  </sheetViews>
  <sheetFormatPr defaultRowHeight="14.4" x14ac:dyDescent="0.3"/>
  <cols>
    <col min="1" max="1" width="10.21875" bestFit="1" customWidth="1"/>
    <col min="4" max="4" width="10.21875" bestFit="1" customWidth="1"/>
    <col min="7" max="7" width="10.33203125" bestFit="1" customWidth="1"/>
    <col min="11" max="11" width="10.77734375" bestFit="1" customWidth="1"/>
    <col min="22" max="22" width="10.33203125" bestFit="1" customWidth="1"/>
    <col min="25" max="25" width="10.33203125" bestFit="1" customWidth="1"/>
    <col min="28" max="28" width="10.33203125" bestFit="1" customWidth="1"/>
    <col min="32" max="32" width="9.6640625" bestFit="1" customWidth="1"/>
  </cols>
  <sheetData>
    <row r="1" spans="1:32" x14ac:dyDescent="0.3">
      <c r="A1" t="s">
        <v>0</v>
      </c>
      <c r="D1" t="s">
        <v>3</v>
      </c>
      <c r="G1" t="s">
        <v>4</v>
      </c>
      <c r="V1" t="s">
        <v>7</v>
      </c>
      <c r="Y1" t="s">
        <v>8</v>
      </c>
      <c r="AB1" t="s">
        <v>9</v>
      </c>
    </row>
    <row r="2" spans="1:32" x14ac:dyDescent="0.3">
      <c r="A2" t="s">
        <v>1</v>
      </c>
      <c r="B2" t="s">
        <v>2</v>
      </c>
      <c r="D2" t="s">
        <v>1</v>
      </c>
      <c r="E2" t="s">
        <v>2</v>
      </c>
      <c r="G2" t="str">
        <f>D2</f>
        <v>V(acid) [μL]</v>
      </c>
      <c r="H2" t="str">
        <f>E2</f>
        <v>pH</v>
      </c>
      <c r="J2" t="s">
        <v>5</v>
      </c>
      <c r="K2" t="s">
        <v>6</v>
      </c>
      <c r="V2" t="str">
        <f>G2</f>
        <v>V(acid) [μL]</v>
      </c>
      <c r="W2" t="s">
        <v>2</v>
      </c>
      <c r="Y2" t="str">
        <f>V2</f>
        <v>V(acid) [μL]</v>
      </c>
      <c r="Z2" t="str">
        <f>W2</f>
        <v>pH</v>
      </c>
      <c r="AB2" t="str">
        <f>Y2</f>
        <v>V(acid) [μL]</v>
      </c>
      <c r="AC2" t="str">
        <f>Z2</f>
        <v>pH</v>
      </c>
      <c r="AE2" t="s">
        <v>10</v>
      </c>
      <c r="AF2" t="s">
        <v>11</v>
      </c>
    </row>
    <row r="3" spans="1:32" x14ac:dyDescent="0.3">
      <c r="A3">
        <v>0</v>
      </c>
      <c r="B3" s="1">
        <v>7.34</v>
      </c>
      <c r="D3">
        <f>A3</f>
        <v>0</v>
      </c>
      <c r="E3" s="1">
        <v>7.43</v>
      </c>
      <c r="G3">
        <f>D3</f>
        <v>0</v>
      </c>
      <c r="H3">
        <v>7.19</v>
      </c>
      <c r="J3" s="2">
        <f>AVERAGE(B3,E3,H3)</f>
        <v>7.32</v>
      </c>
      <c r="K3" s="1">
        <f>_xlfn.STDEV.P(B3,E3,H3)</f>
        <v>9.8994949366116358E-2</v>
      </c>
      <c r="V3">
        <f>G3</f>
        <v>0</v>
      </c>
      <c r="W3">
        <v>7.16</v>
      </c>
      <c r="Y3">
        <f>V3</f>
        <v>0</v>
      </c>
      <c r="Z3">
        <v>7.27</v>
      </c>
      <c r="AB3">
        <f>Y3</f>
        <v>0</v>
      </c>
      <c r="AC3">
        <v>7.16</v>
      </c>
      <c r="AE3" s="1">
        <f>AVERAGE(W3,Z3,AC3)</f>
        <v>7.1966666666666663</v>
      </c>
      <c r="AF3" s="1">
        <f>_xlfn.STDEV.P(W3,Z3,AC3)</f>
        <v>5.1854497287013218E-2</v>
      </c>
    </row>
    <row r="4" spans="1:32" x14ac:dyDescent="0.3">
      <c r="A4">
        <v>100</v>
      </c>
      <c r="B4" s="1">
        <v>6.98</v>
      </c>
      <c r="D4">
        <f t="shared" ref="D4:D28" si="0">A4</f>
        <v>100</v>
      </c>
      <c r="E4" s="1">
        <v>6.99</v>
      </c>
      <c r="G4">
        <f t="shared" ref="G4:G28" si="1">D4</f>
        <v>100</v>
      </c>
      <c r="H4">
        <v>6.92</v>
      </c>
      <c r="J4" s="1">
        <f t="shared" ref="J4:J28" si="2">AVERAGE(B4,E4,H4)</f>
        <v>6.9633333333333338</v>
      </c>
      <c r="K4" s="1">
        <f t="shared" ref="K4:K28" si="3">_xlfn.STDEV.P(B4,E4,H4)</f>
        <v>3.0912061651652518E-2</v>
      </c>
      <c r="V4">
        <f t="shared" ref="V4:V28" si="4">G4</f>
        <v>100</v>
      </c>
      <c r="W4">
        <v>7.03</v>
      </c>
      <c r="Y4">
        <f t="shared" ref="Y4:Y28" si="5">V4</f>
        <v>100</v>
      </c>
      <c r="Z4">
        <v>7.02</v>
      </c>
      <c r="AB4">
        <f t="shared" ref="AB4:AB28" si="6">Y4</f>
        <v>100</v>
      </c>
      <c r="AC4">
        <v>6.97</v>
      </c>
      <c r="AE4" s="1">
        <f t="shared" ref="AE4:AE28" si="7">AVERAGE(W4,Z4,AC4)</f>
        <v>7.0066666666666668</v>
      </c>
      <c r="AF4" s="1">
        <f t="shared" ref="AF4:AF28" si="8">_xlfn.STDEV.P(W4,Z4,AC4)</f>
        <v>2.6246692913372824E-2</v>
      </c>
    </row>
    <row r="5" spans="1:32" x14ac:dyDescent="0.3">
      <c r="A5">
        <v>200</v>
      </c>
      <c r="B5" s="1">
        <v>6.78</v>
      </c>
      <c r="D5">
        <f t="shared" si="0"/>
        <v>200</v>
      </c>
      <c r="E5" s="1">
        <v>6.69</v>
      </c>
      <c r="G5">
        <f t="shared" si="1"/>
        <v>200</v>
      </c>
      <c r="H5">
        <v>6.63</v>
      </c>
      <c r="J5" s="1">
        <f t="shared" si="2"/>
        <v>6.7</v>
      </c>
      <c r="K5" s="1">
        <f t="shared" si="3"/>
        <v>6.1644140029689889E-2</v>
      </c>
      <c r="V5">
        <f t="shared" si="4"/>
        <v>200</v>
      </c>
      <c r="W5">
        <v>6.88</v>
      </c>
      <c r="Y5">
        <f t="shared" si="5"/>
        <v>200</v>
      </c>
      <c r="Z5">
        <v>6.87</v>
      </c>
      <c r="AB5">
        <f t="shared" si="6"/>
        <v>200</v>
      </c>
      <c r="AC5">
        <v>6.85</v>
      </c>
      <c r="AE5" s="1">
        <f t="shared" si="7"/>
        <v>6.8666666666666671</v>
      </c>
      <c r="AF5" s="1">
        <f t="shared" si="8"/>
        <v>1.2472191289246601E-2</v>
      </c>
    </row>
    <row r="6" spans="1:32" x14ac:dyDescent="0.3">
      <c r="A6">
        <v>300</v>
      </c>
      <c r="B6" s="1">
        <v>6.61</v>
      </c>
      <c r="D6">
        <f t="shared" si="0"/>
        <v>300</v>
      </c>
      <c r="E6" s="1">
        <v>6.48</v>
      </c>
      <c r="G6">
        <f t="shared" si="1"/>
        <v>300</v>
      </c>
      <c r="H6">
        <v>6.46</v>
      </c>
      <c r="J6" s="1">
        <f t="shared" si="2"/>
        <v>6.5166666666666666</v>
      </c>
      <c r="K6" s="1">
        <f t="shared" si="3"/>
        <v>6.6499791144200085E-2</v>
      </c>
      <c r="V6">
        <f t="shared" si="4"/>
        <v>300</v>
      </c>
      <c r="W6">
        <v>6.73</v>
      </c>
      <c r="Y6">
        <f t="shared" si="5"/>
        <v>300</v>
      </c>
      <c r="Z6">
        <v>6.73</v>
      </c>
      <c r="AB6">
        <f t="shared" si="6"/>
        <v>300</v>
      </c>
      <c r="AC6">
        <v>6.71</v>
      </c>
      <c r="AE6" s="1">
        <f t="shared" si="7"/>
        <v>6.7233333333333336</v>
      </c>
      <c r="AF6" s="1">
        <f t="shared" si="8"/>
        <v>9.4280904158208518E-3</v>
      </c>
    </row>
    <row r="7" spans="1:32" x14ac:dyDescent="0.3">
      <c r="A7">
        <v>400</v>
      </c>
      <c r="B7" s="1">
        <v>6.49</v>
      </c>
      <c r="D7">
        <f t="shared" si="0"/>
        <v>400</v>
      </c>
      <c r="E7" s="1">
        <v>6.15</v>
      </c>
      <c r="G7">
        <f t="shared" si="1"/>
        <v>400</v>
      </c>
      <c r="H7">
        <v>6.32</v>
      </c>
      <c r="J7" s="1">
        <f t="shared" si="2"/>
        <v>6.32</v>
      </c>
      <c r="K7" s="1">
        <f t="shared" si="3"/>
        <v>0.13880441875771338</v>
      </c>
      <c r="V7">
        <f t="shared" si="4"/>
        <v>400</v>
      </c>
      <c r="W7">
        <v>6.79</v>
      </c>
      <c r="Y7">
        <f t="shared" si="5"/>
        <v>400</v>
      </c>
      <c r="Z7">
        <v>6.62</v>
      </c>
      <c r="AB7">
        <f t="shared" si="6"/>
        <v>400</v>
      </c>
      <c r="AC7">
        <v>6.65</v>
      </c>
      <c r="AE7" s="1">
        <f t="shared" si="7"/>
        <v>6.6866666666666674</v>
      </c>
      <c r="AF7" s="1">
        <f t="shared" si="8"/>
        <v>7.4087035902976148E-2</v>
      </c>
    </row>
    <row r="8" spans="1:32" x14ac:dyDescent="0.3">
      <c r="A8">
        <v>500</v>
      </c>
      <c r="B8" s="1">
        <v>6.31</v>
      </c>
      <c r="D8">
        <f t="shared" si="0"/>
        <v>500</v>
      </c>
      <c r="E8" s="1">
        <v>6.2</v>
      </c>
      <c r="G8">
        <f t="shared" si="1"/>
        <v>500</v>
      </c>
      <c r="H8">
        <v>6.18</v>
      </c>
      <c r="J8" s="1">
        <f t="shared" si="2"/>
        <v>6.2299999999999995</v>
      </c>
      <c r="K8" s="1">
        <f t="shared" si="3"/>
        <v>5.7154760664940692E-2</v>
      </c>
      <c r="V8">
        <f t="shared" si="4"/>
        <v>500</v>
      </c>
      <c r="W8">
        <v>6.68</v>
      </c>
      <c r="Y8">
        <f t="shared" si="5"/>
        <v>500</v>
      </c>
      <c r="Z8">
        <v>6.52</v>
      </c>
      <c r="AB8">
        <f t="shared" si="6"/>
        <v>500</v>
      </c>
      <c r="AC8">
        <v>6.57</v>
      </c>
      <c r="AE8" s="1">
        <f t="shared" si="7"/>
        <v>6.59</v>
      </c>
      <c r="AF8" s="1">
        <f t="shared" si="8"/>
        <v>6.6833125519211403E-2</v>
      </c>
    </row>
    <row r="9" spans="1:32" x14ac:dyDescent="0.3">
      <c r="A9">
        <v>600</v>
      </c>
      <c r="B9" s="1">
        <v>6.2</v>
      </c>
      <c r="D9">
        <f t="shared" si="0"/>
        <v>600</v>
      </c>
      <c r="E9" s="1">
        <v>6.06</v>
      </c>
      <c r="G9">
        <f t="shared" si="1"/>
        <v>600</v>
      </c>
      <c r="H9">
        <v>6.04</v>
      </c>
      <c r="J9" s="1">
        <f t="shared" si="2"/>
        <v>6.1000000000000005</v>
      </c>
      <c r="K9" s="1">
        <f t="shared" si="3"/>
        <v>7.1180521680208886E-2</v>
      </c>
      <c r="V9">
        <f t="shared" si="4"/>
        <v>600</v>
      </c>
      <c r="W9">
        <v>6.66</v>
      </c>
      <c r="Y9">
        <f t="shared" si="5"/>
        <v>600</v>
      </c>
      <c r="Z9">
        <v>6.45</v>
      </c>
      <c r="AB9">
        <f t="shared" si="6"/>
        <v>600</v>
      </c>
      <c r="AC9">
        <v>6.49</v>
      </c>
      <c r="AE9" s="1">
        <f t="shared" si="7"/>
        <v>6.5333333333333341</v>
      </c>
      <c r="AF9" s="1">
        <f t="shared" si="8"/>
        <v>9.1043335224984395E-2</v>
      </c>
    </row>
    <row r="10" spans="1:32" x14ac:dyDescent="0.3">
      <c r="A10">
        <v>700</v>
      </c>
      <c r="B10" s="1">
        <v>6.07</v>
      </c>
      <c r="D10">
        <f t="shared" si="0"/>
        <v>700</v>
      </c>
      <c r="E10" s="1">
        <v>5.95</v>
      </c>
      <c r="G10">
        <f t="shared" si="1"/>
        <v>700</v>
      </c>
      <c r="H10">
        <v>5.88</v>
      </c>
      <c r="J10" s="1">
        <f t="shared" si="2"/>
        <v>5.9666666666666659</v>
      </c>
      <c r="K10" s="1">
        <f t="shared" si="3"/>
        <v>7.8457348639598953E-2</v>
      </c>
      <c r="V10">
        <f t="shared" si="4"/>
        <v>700</v>
      </c>
      <c r="W10">
        <v>6.67</v>
      </c>
      <c r="Y10">
        <f t="shared" si="5"/>
        <v>700</v>
      </c>
      <c r="Z10">
        <v>6.39</v>
      </c>
      <c r="AB10">
        <f t="shared" si="6"/>
        <v>700</v>
      </c>
      <c r="AC10">
        <v>6.41</v>
      </c>
      <c r="AE10" s="1">
        <f t="shared" si="7"/>
        <v>6.4899999999999993</v>
      </c>
      <c r="AF10" s="1">
        <f t="shared" si="8"/>
        <v>0.1275408431313933</v>
      </c>
    </row>
    <row r="11" spans="1:32" x14ac:dyDescent="0.3">
      <c r="A11">
        <v>800</v>
      </c>
      <c r="B11" s="1">
        <v>5.94</v>
      </c>
      <c r="D11">
        <f t="shared" si="0"/>
        <v>800</v>
      </c>
      <c r="E11" s="1">
        <v>5.8</v>
      </c>
      <c r="G11">
        <f t="shared" si="1"/>
        <v>800</v>
      </c>
      <c r="H11">
        <v>5.71</v>
      </c>
      <c r="J11" s="1">
        <f t="shared" si="2"/>
        <v>5.8166666666666664</v>
      </c>
      <c r="K11" s="1">
        <f t="shared" si="3"/>
        <v>9.4633797110522791E-2</v>
      </c>
      <c r="V11">
        <f t="shared" si="4"/>
        <v>800</v>
      </c>
      <c r="W11">
        <v>6.35</v>
      </c>
      <c r="Y11">
        <f t="shared" si="5"/>
        <v>800</v>
      </c>
      <c r="Z11">
        <v>6.33</v>
      </c>
      <c r="AB11">
        <f t="shared" si="6"/>
        <v>800</v>
      </c>
      <c r="AC11">
        <v>6.34</v>
      </c>
      <c r="AE11" s="1">
        <f t="shared" si="7"/>
        <v>6.34</v>
      </c>
      <c r="AF11" s="1">
        <f t="shared" si="8"/>
        <v>8.164965809277086E-3</v>
      </c>
    </row>
    <row r="12" spans="1:32" x14ac:dyDescent="0.3">
      <c r="A12">
        <v>900</v>
      </c>
      <c r="B12" s="1">
        <v>5.84</v>
      </c>
      <c r="D12">
        <f t="shared" si="0"/>
        <v>900</v>
      </c>
      <c r="E12" s="1">
        <v>5.73</v>
      </c>
      <c r="G12">
        <f t="shared" si="1"/>
        <v>900</v>
      </c>
      <c r="H12">
        <v>5.52</v>
      </c>
      <c r="J12" s="1">
        <f t="shared" si="2"/>
        <v>5.6966666666666663</v>
      </c>
      <c r="K12" s="1">
        <f t="shared" si="3"/>
        <v>0.13274871834493268</v>
      </c>
      <c r="V12">
        <f t="shared" si="4"/>
        <v>900</v>
      </c>
      <c r="W12">
        <v>6.24</v>
      </c>
      <c r="Y12">
        <f t="shared" si="5"/>
        <v>900</v>
      </c>
      <c r="Z12">
        <v>6.26</v>
      </c>
      <c r="AB12">
        <f t="shared" si="6"/>
        <v>900</v>
      </c>
      <c r="AC12">
        <v>6.34</v>
      </c>
      <c r="AE12" s="1">
        <f t="shared" si="7"/>
        <v>6.28</v>
      </c>
      <c r="AF12" s="1">
        <f t="shared" si="8"/>
        <v>4.3204937989385635E-2</v>
      </c>
    </row>
    <row r="13" spans="1:32" x14ac:dyDescent="0.3">
      <c r="A13">
        <v>1000</v>
      </c>
      <c r="B13" s="1">
        <v>5.73</v>
      </c>
      <c r="D13">
        <f t="shared" si="0"/>
        <v>1000</v>
      </c>
      <c r="E13" s="1">
        <v>5.49</v>
      </c>
      <c r="G13">
        <f t="shared" si="1"/>
        <v>1000</v>
      </c>
      <c r="H13">
        <v>5.33</v>
      </c>
      <c r="J13" s="1">
        <f t="shared" si="2"/>
        <v>5.5166666666666666</v>
      </c>
      <c r="K13" s="1">
        <f t="shared" si="3"/>
        <v>0.1643843734125062</v>
      </c>
      <c r="V13">
        <f t="shared" si="4"/>
        <v>1000</v>
      </c>
      <c r="W13">
        <v>6.16</v>
      </c>
      <c r="Y13">
        <f t="shared" si="5"/>
        <v>1000</v>
      </c>
      <c r="Z13">
        <v>6.19</v>
      </c>
      <c r="AB13">
        <f t="shared" si="6"/>
        <v>1000</v>
      </c>
      <c r="AC13">
        <v>6.21</v>
      </c>
      <c r="AE13" s="1">
        <f t="shared" si="7"/>
        <v>6.1866666666666674</v>
      </c>
      <c r="AF13" s="1">
        <f t="shared" si="8"/>
        <v>2.0548046676563202E-2</v>
      </c>
    </row>
    <row r="14" spans="1:32" x14ac:dyDescent="0.3">
      <c r="A14">
        <v>1100</v>
      </c>
      <c r="B14" s="1">
        <v>5.5</v>
      </c>
      <c r="D14">
        <f t="shared" si="0"/>
        <v>1100</v>
      </c>
      <c r="E14" s="1">
        <v>5.35</v>
      </c>
      <c r="G14">
        <f t="shared" si="1"/>
        <v>1100</v>
      </c>
      <c r="H14">
        <v>5.13</v>
      </c>
      <c r="J14" s="1">
        <f t="shared" si="2"/>
        <v>5.3266666666666671</v>
      </c>
      <c r="K14" s="1">
        <f t="shared" si="3"/>
        <v>0.15195028426721977</v>
      </c>
      <c r="V14">
        <f t="shared" si="4"/>
        <v>1100</v>
      </c>
      <c r="W14">
        <v>6.09</v>
      </c>
      <c r="Y14">
        <f t="shared" si="5"/>
        <v>1100</v>
      </c>
      <c r="Z14">
        <v>6.13</v>
      </c>
      <c r="AB14">
        <f t="shared" si="6"/>
        <v>1100</v>
      </c>
      <c r="AC14">
        <v>6.14</v>
      </c>
      <c r="AE14" s="1">
        <f t="shared" si="7"/>
        <v>6.12</v>
      </c>
      <c r="AF14" s="1">
        <f t="shared" si="8"/>
        <v>2.1602468994692817E-2</v>
      </c>
    </row>
    <row r="15" spans="1:32" x14ac:dyDescent="0.3">
      <c r="A15">
        <v>1200</v>
      </c>
      <c r="B15" s="1">
        <v>5.46</v>
      </c>
      <c r="D15">
        <f t="shared" si="0"/>
        <v>1200</v>
      </c>
      <c r="E15" s="1">
        <v>5.2</v>
      </c>
      <c r="G15">
        <f t="shared" si="1"/>
        <v>1200</v>
      </c>
      <c r="H15">
        <v>4.93</v>
      </c>
      <c r="J15" s="1">
        <f t="shared" si="2"/>
        <v>5.1966666666666663</v>
      </c>
      <c r="K15" s="1">
        <f t="shared" si="3"/>
        <v>0.21638443156156653</v>
      </c>
      <c r="V15">
        <f t="shared" si="4"/>
        <v>1200</v>
      </c>
      <c r="W15">
        <v>6.05</v>
      </c>
      <c r="Y15">
        <f t="shared" si="5"/>
        <v>1200</v>
      </c>
      <c r="Z15">
        <v>6.07</v>
      </c>
      <c r="AB15">
        <f t="shared" si="6"/>
        <v>1200</v>
      </c>
      <c r="AC15">
        <v>6.09</v>
      </c>
      <c r="AE15" s="1">
        <f t="shared" si="7"/>
        <v>6.07</v>
      </c>
      <c r="AF15" s="1">
        <f t="shared" si="8"/>
        <v>1.6329931618554536E-2</v>
      </c>
    </row>
    <row r="16" spans="1:32" x14ac:dyDescent="0.3">
      <c r="A16">
        <v>1300</v>
      </c>
      <c r="B16" s="1">
        <v>5.43</v>
      </c>
      <c r="D16">
        <f t="shared" si="0"/>
        <v>1300</v>
      </c>
      <c r="E16" s="1">
        <v>5.18</v>
      </c>
      <c r="G16">
        <f t="shared" si="1"/>
        <v>1300</v>
      </c>
      <c r="H16">
        <v>4.76</v>
      </c>
      <c r="J16" s="1">
        <f t="shared" si="2"/>
        <v>5.1233333333333331</v>
      </c>
      <c r="K16" s="1">
        <f t="shared" si="3"/>
        <v>0.27644569488820442</v>
      </c>
      <c r="V16">
        <f t="shared" si="4"/>
        <v>1300</v>
      </c>
      <c r="W16">
        <v>5.99</v>
      </c>
      <c r="Y16">
        <f t="shared" si="5"/>
        <v>1300</v>
      </c>
      <c r="Z16" s="1">
        <v>6</v>
      </c>
      <c r="AB16">
        <f t="shared" si="6"/>
        <v>1300</v>
      </c>
      <c r="AC16">
        <v>6.01</v>
      </c>
      <c r="AE16" s="1">
        <f t="shared" si="7"/>
        <v>6</v>
      </c>
      <c r="AF16" s="1">
        <f t="shared" si="8"/>
        <v>8.164965809277086E-3</v>
      </c>
    </row>
    <row r="17" spans="1:32" x14ac:dyDescent="0.3">
      <c r="A17">
        <v>1400</v>
      </c>
      <c r="B17" s="1">
        <v>4.97</v>
      </c>
      <c r="D17">
        <f t="shared" si="0"/>
        <v>1400</v>
      </c>
      <c r="E17" s="1">
        <v>5.1100000000000003</v>
      </c>
      <c r="G17">
        <f t="shared" si="1"/>
        <v>1400</v>
      </c>
      <c r="H17">
        <v>4.53</v>
      </c>
      <c r="J17" s="1">
        <f t="shared" si="2"/>
        <v>4.87</v>
      </c>
      <c r="K17" s="1">
        <f t="shared" si="3"/>
        <v>0.2471167065713418</v>
      </c>
      <c r="V17">
        <f t="shared" si="4"/>
        <v>1400</v>
      </c>
      <c r="W17">
        <v>5.93</v>
      </c>
      <c r="Y17">
        <f t="shared" si="5"/>
        <v>1400</v>
      </c>
      <c r="Z17">
        <v>5.94</v>
      </c>
      <c r="AB17">
        <f t="shared" si="6"/>
        <v>1400</v>
      </c>
      <c r="AC17">
        <v>5.94</v>
      </c>
      <c r="AE17" s="1">
        <f t="shared" si="7"/>
        <v>5.9366666666666674</v>
      </c>
      <c r="AF17" s="1">
        <f t="shared" si="8"/>
        <v>4.7140452079106349E-3</v>
      </c>
    </row>
    <row r="18" spans="1:32" x14ac:dyDescent="0.3">
      <c r="A18">
        <v>1500</v>
      </c>
      <c r="B18" s="1">
        <v>4.78</v>
      </c>
      <c r="D18">
        <f t="shared" si="0"/>
        <v>1500</v>
      </c>
      <c r="E18" s="1">
        <v>4.8899999999999997</v>
      </c>
      <c r="G18">
        <f t="shared" si="1"/>
        <v>1500</v>
      </c>
      <c r="H18">
        <v>4.43</v>
      </c>
      <c r="J18" s="1">
        <f t="shared" si="2"/>
        <v>4.7</v>
      </c>
      <c r="K18" s="1">
        <f t="shared" si="3"/>
        <v>0.19612920911140874</v>
      </c>
      <c r="V18">
        <f t="shared" si="4"/>
        <v>1500</v>
      </c>
      <c r="W18">
        <v>5.88</v>
      </c>
      <c r="Y18">
        <f t="shared" si="5"/>
        <v>1500</v>
      </c>
      <c r="Z18">
        <v>5.87</v>
      </c>
      <c r="AB18">
        <f t="shared" si="6"/>
        <v>1500</v>
      </c>
      <c r="AC18">
        <v>5.88</v>
      </c>
      <c r="AE18" s="1">
        <f t="shared" si="7"/>
        <v>5.876666666666666</v>
      </c>
      <c r="AF18" s="1">
        <f t="shared" si="8"/>
        <v>4.714045207910216E-3</v>
      </c>
    </row>
    <row r="19" spans="1:32" x14ac:dyDescent="0.3">
      <c r="A19">
        <v>1600</v>
      </c>
      <c r="B19" s="1">
        <v>4.7699999999999996</v>
      </c>
      <c r="D19">
        <f t="shared" si="0"/>
        <v>1600</v>
      </c>
      <c r="E19" s="1">
        <v>4.7300000000000004</v>
      </c>
      <c r="G19">
        <f t="shared" si="1"/>
        <v>1600</v>
      </c>
      <c r="H19">
        <v>4.22</v>
      </c>
      <c r="J19" s="1">
        <f t="shared" si="2"/>
        <v>4.5733333333333333</v>
      </c>
      <c r="K19" s="1">
        <f t="shared" si="3"/>
        <v>0.25037749277618576</v>
      </c>
      <c r="V19">
        <f t="shared" si="4"/>
        <v>1600</v>
      </c>
      <c r="W19">
        <v>5.79</v>
      </c>
      <c r="Y19">
        <f t="shared" si="5"/>
        <v>1600</v>
      </c>
      <c r="Z19">
        <v>5.81</v>
      </c>
      <c r="AB19">
        <f t="shared" si="6"/>
        <v>1600</v>
      </c>
      <c r="AC19">
        <v>5.81</v>
      </c>
      <c r="AE19" s="1">
        <f t="shared" si="7"/>
        <v>5.8033333333333337</v>
      </c>
      <c r="AF19" s="1">
        <f t="shared" si="8"/>
        <v>9.428090415820432E-3</v>
      </c>
    </row>
    <row r="20" spans="1:32" x14ac:dyDescent="0.3">
      <c r="A20">
        <v>1700</v>
      </c>
      <c r="B20" s="1">
        <v>4.7699999999999996</v>
      </c>
      <c r="D20">
        <f t="shared" si="0"/>
        <v>1700</v>
      </c>
      <c r="E20" s="1">
        <v>4.66</v>
      </c>
      <c r="G20">
        <f t="shared" si="1"/>
        <v>1700</v>
      </c>
      <c r="H20">
        <v>4.01</v>
      </c>
      <c r="J20" s="1">
        <f t="shared" si="2"/>
        <v>4.4799999999999995</v>
      </c>
      <c r="K20" s="1">
        <f t="shared" si="3"/>
        <v>0.33536050254415273</v>
      </c>
      <c r="V20">
        <f t="shared" si="4"/>
        <v>1700</v>
      </c>
      <c r="W20">
        <v>5.74</v>
      </c>
      <c r="Y20">
        <f t="shared" si="5"/>
        <v>1700</v>
      </c>
      <c r="Z20">
        <v>5.74</v>
      </c>
      <c r="AB20">
        <f t="shared" si="6"/>
        <v>1700</v>
      </c>
      <c r="AC20">
        <v>5.75</v>
      </c>
      <c r="AE20" s="1">
        <f t="shared" si="7"/>
        <v>5.7433333333333332</v>
      </c>
      <c r="AF20" s="1">
        <f t="shared" si="8"/>
        <v>4.714045207910216E-3</v>
      </c>
    </row>
    <row r="21" spans="1:32" x14ac:dyDescent="0.3">
      <c r="A21">
        <v>1800</v>
      </c>
      <c r="B21" s="1">
        <v>4.59</v>
      </c>
      <c r="D21">
        <f t="shared" si="0"/>
        <v>1800</v>
      </c>
      <c r="E21" s="1">
        <v>4.46</v>
      </c>
      <c r="G21">
        <f t="shared" si="1"/>
        <v>1800</v>
      </c>
      <c r="H21">
        <v>3.75</v>
      </c>
      <c r="J21" s="1">
        <f t="shared" si="2"/>
        <v>4.2666666666666666</v>
      </c>
      <c r="K21" s="1">
        <f t="shared" si="3"/>
        <v>0.36917325050562488</v>
      </c>
      <c r="V21">
        <f t="shared" si="4"/>
        <v>1800</v>
      </c>
      <c r="W21">
        <v>5.69</v>
      </c>
      <c r="Y21">
        <f t="shared" si="5"/>
        <v>1800</v>
      </c>
      <c r="Z21">
        <v>5.67</v>
      </c>
      <c r="AB21">
        <f t="shared" si="6"/>
        <v>1800</v>
      </c>
      <c r="AC21">
        <v>5.69</v>
      </c>
      <c r="AE21" s="1">
        <f t="shared" si="7"/>
        <v>5.6833333333333336</v>
      </c>
      <c r="AF21" s="1">
        <f t="shared" si="8"/>
        <v>9.4280904158208518E-3</v>
      </c>
    </row>
    <row r="22" spans="1:32" x14ac:dyDescent="0.3">
      <c r="A22">
        <v>1900</v>
      </c>
      <c r="B22" s="1">
        <v>4.46</v>
      </c>
      <c r="D22">
        <f t="shared" si="0"/>
        <v>1900</v>
      </c>
      <c r="E22" s="1">
        <v>4.2300000000000004</v>
      </c>
      <c r="G22">
        <f t="shared" si="1"/>
        <v>1900</v>
      </c>
      <c r="H22">
        <v>3.42</v>
      </c>
      <c r="J22" s="1">
        <f t="shared" si="2"/>
        <v>4.0366666666666671</v>
      </c>
      <c r="K22" s="1">
        <f t="shared" si="3"/>
        <v>0.44604434258888848</v>
      </c>
      <c r="V22">
        <f t="shared" si="4"/>
        <v>1900</v>
      </c>
      <c r="W22">
        <v>5.63</v>
      </c>
      <c r="Y22">
        <f t="shared" si="5"/>
        <v>1900</v>
      </c>
      <c r="Z22">
        <v>5.61</v>
      </c>
      <c r="AB22">
        <f t="shared" si="6"/>
        <v>1900</v>
      </c>
      <c r="AC22">
        <v>5.62</v>
      </c>
      <c r="AE22" s="1">
        <f t="shared" si="7"/>
        <v>5.62</v>
      </c>
      <c r="AF22" s="1">
        <f t="shared" si="8"/>
        <v>8.164965809277086E-3</v>
      </c>
    </row>
    <row r="23" spans="1:32" x14ac:dyDescent="0.3">
      <c r="A23">
        <v>2000</v>
      </c>
      <c r="B23" s="1">
        <v>4.21</v>
      </c>
      <c r="D23">
        <f t="shared" si="0"/>
        <v>2000</v>
      </c>
      <c r="E23" s="1">
        <v>3.8</v>
      </c>
      <c r="G23">
        <f t="shared" si="1"/>
        <v>2000</v>
      </c>
      <c r="H23">
        <v>2.98</v>
      </c>
      <c r="J23" s="1">
        <f t="shared" si="2"/>
        <v>3.6633333333333336</v>
      </c>
      <c r="K23" s="1">
        <f t="shared" si="3"/>
        <v>0.51135984285910463</v>
      </c>
      <c r="V23">
        <f t="shared" si="4"/>
        <v>2000</v>
      </c>
      <c r="W23">
        <v>5.57</v>
      </c>
      <c r="Y23">
        <f t="shared" si="5"/>
        <v>2000</v>
      </c>
      <c r="Z23">
        <v>5.54</v>
      </c>
      <c r="AB23">
        <f t="shared" si="6"/>
        <v>2000</v>
      </c>
      <c r="AC23">
        <v>5.57</v>
      </c>
      <c r="AE23" s="1">
        <f t="shared" si="7"/>
        <v>5.56</v>
      </c>
      <c r="AF23" s="1">
        <f t="shared" si="8"/>
        <v>1.4142135623731067E-2</v>
      </c>
    </row>
    <row r="24" spans="1:32" x14ac:dyDescent="0.3">
      <c r="A24">
        <v>2100</v>
      </c>
      <c r="B24" s="1">
        <v>4.08</v>
      </c>
      <c r="D24">
        <f t="shared" si="0"/>
        <v>2100</v>
      </c>
      <c r="E24" s="1">
        <v>3.31</v>
      </c>
      <c r="G24">
        <f t="shared" si="1"/>
        <v>2100</v>
      </c>
      <c r="H24">
        <v>2.62</v>
      </c>
      <c r="J24" s="1">
        <f t="shared" si="2"/>
        <v>3.3366666666666673</v>
      </c>
      <c r="K24" s="1">
        <f t="shared" si="3"/>
        <v>0.59634069307923177</v>
      </c>
      <c r="V24">
        <f t="shared" si="4"/>
        <v>2100</v>
      </c>
      <c r="W24">
        <v>5.51</v>
      </c>
      <c r="Y24">
        <f t="shared" si="5"/>
        <v>2100</v>
      </c>
      <c r="Z24">
        <v>5.49</v>
      </c>
      <c r="AB24">
        <f t="shared" si="6"/>
        <v>2100</v>
      </c>
      <c r="AC24">
        <v>5.52</v>
      </c>
      <c r="AE24" s="1">
        <f t="shared" si="7"/>
        <v>5.5066666666666668</v>
      </c>
      <c r="AF24" s="1">
        <f t="shared" si="8"/>
        <v>1.2472191289246206E-2</v>
      </c>
    </row>
    <row r="25" spans="1:32" x14ac:dyDescent="0.3">
      <c r="A25">
        <v>2200</v>
      </c>
      <c r="B25" s="1">
        <v>3.95</v>
      </c>
      <c r="D25">
        <f t="shared" si="0"/>
        <v>2200</v>
      </c>
      <c r="E25" s="1">
        <v>3.08</v>
      </c>
      <c r="G25">
        <f t="shared" si="1"/>
        <v>2200</v>
      </c>
      <c r="H25">
        <v>2.38</v>
      </c>
      <c r="J25" s="1">
        <f t="shared" si="2"/>
        <v>3.1366666666666667</v>
      </c>
      <c r="K25" s="1">
        <f t="shared" si="3"/>
        <v>0.64220107616090416</v>
      </c>
      <c r="V25">
        <f t="shared" si="4"/>
        <v>2200</v>
      </c>
      <c r="W25">
        <v>5.47</v>
      </c>
      <c r="Y25">
        <f t="shared" si="5"/>
        <v>2200</v>
      </c>
      <c r="Z25">
        <v>5.43</v>
      </c>
      <c r="AB25">
        <f t="shared" si="6"/>
        <v>2200</v>
      </c>
      <c r="AC25">
        <v>5.47</v>
      </c>
      <c r="AE25" s="1">
        <f t="shared" si="7"/>
        <v>5.4566666666666661</v>
      </c>
      <c r="AF25" s="1">
        <f t="shared" si="8"/>
        <v>1.8856180831641284E-2</v>
      </c>
    </row>
    <row r="26" spans="1:32" x14ac:dyDescent="0.3">
      <c r="A26">
        <v>2300</v>
      </c>
      <c r="B26" s="1">
        <v>3.82</v>
      </c>
      <c r="D26">
        <f t="shared" si="0"/>
        <v>2300</v>
      </c>
      <c r="E26" s="1">
        <v>3.05</v>
      </c>
      <c r="G26">
        <f t="shared" si="1"/>
        <v>2300</v>
      </c>
      <c r="H26">
        <v>2.16</v>
      </c>
      <c r="J26" s="1">
        <f t="shared" si="2"/>
        <v>3.01</v>
      </c>
      <c r="K26" s="1">
        <f t="shared" si="3"/>
        <v>0.67828214385067465</v>
      </c>
      <c r="V26">
        <f t="shared" si="4"/>
        <v>2300</v>
      </c>
      <c r="W26">
        <v>5.41</v>
      </c>
      <c r="Y26">
        <f t="shared" si="5"/>
        <v>2300</v>
      </c>
      <c r="Z26">
        <v>5.38</v>
      </c>
      <c r="AB26">
        <f t="shared" si="6"/>
        <v>2300</v>
      </c>
      <c r="AC26">
        <v>5.42</v>
      </c>
      <c r="AE26" s="1">
        <f t="shared" si="7"/>
        <v>5.4033333333333333</v>
      </c>
      <c r="AF26" s="1">
        <f t="shared" si="8"/>
        <v>1.6996731711975993E-2</v>
      </c>
    </row>
    <row r="27" spans="1:32" x14ac:dyDescent="0.3">
      <c r="A27">
        <v>2400</v>
      </c>
      <c r="B27" s="1">
        <v>3.75</v>
      </c>
      <c r="D27">
        <f t="shared" si="0"/>
        <v>2400</v>
      </c>
      <c r="E27" s="1">
        <v>2.39</v>
      </c>
      <c r="G27">
        <f t="shared" si="1"/>
        <v>2400</v>
      </c>
      <c r="H27">
        <v>1.96</v>
      </c>
      <c r="J27" s="1">
        <f t="shared" si="2"/>
        <v>2.7000000000000006</v>
      </c>
      <c r="K27" s="1">
        <f t="shared" si="3"/>
        <v>0.76293293720134014</v>
      </c>
      <c r="V27">
        <f t="shared" si="4"/>
        <v>2400</v>
      </c>
      <c r="W27">
        <v>5.36</v>
      </c>
      <c r="Y27">
        <f t="shared" si="5"/>
        <v>2400</v>
      </c>
      <c r="Z27">
        <v>5.34</v>
      </c>
      <c r="AB27">
        <f t="shared" si="6"/>
        <v>2400</v>
      </c>
      <c r="AC27">
        <v>5.37</v>
      </c>
      <c r="AE27" s="1">
        <f t="shared" si="7"/>
        <v>5.3566666666666665</v>
      </c>
      <c r="AF27" s="1">
        <f t="shared" si="8"/>
        <v>1.2472191289246601E-2</v>
      </c>
    </row>
    <row r="28" spans="1:32" x14ac:dyDescent="0.3">
      <c r="A28">
        <v>2500</v>
      </c>
      <c r="B28" s="1">
        <v>2.85</v>
      </c>
      <c r="D28">
        <f t="shared" si="0"/>
        <v>2500</v>
      </c>
      <c r="E28" s="1">
        <v>2.12</v>
      </c>
      <c r="G28">
        <f t="shared" si="1"/>
        <v>2500</v>
      </c>
      <c r="H28">
        <v>1.86</v>
      </c>
      <c r="J28" s="1">
        <f t="shared" si="2"/>
        <v>2.2766666666666668</v>
      </c>
      <c r="K28" s="1">
        <f t="shared" si="3"/>
        <v>0.41907305117630966</v>
      </c>
      <c r="V28">
        <f t="shared" si="4"/>
        <v>2500</v>
      </c>
      <c r="W28">
        <v>5.31</v>
      </c>
      <c r="Y28">
        <f t="shared" si="5"/>
        <v>2500</v>
      </c>
      <c r="Z28">
        <v>5.29</v>
      </c>
      <c r="AB28">
        <f t="shared" si="6"/>
        <v>2500</v>
      </c>
      <c r="AC28">
        <v>5.34</v>
      </c>
      <c r="AE28" s="1">
        <f t="shared" si="7"/>
        <v>5.3133333333333335</v>
      </c>
      <c r="AF28" s="1">
        <f t="shared" si="8"/>
        <v>2.0548046676563202E-2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1AD91-DEE4-43E0-9477-23AD73296AF1}">
  <dimension ref="A1:G27"/>
  <sheetViews>
    <sheetView tabSelected="1" workbookViewId="0">
      <selection activeCell="F6" sqref="F6"/>
    </sheetView>
  </sheetViews>
  <sheetFormatPr defaultRowHeight="14.4" x14ac:dyDescent="0.3"/>
  <cols>
    <col min="2" max="2" width="23.77734375" bestFit="1" customWidth="1"/>
    <col min="3" max="3" width="25.21875" bestFit="1" customWidth="1"/>
    <col min="4" max="5" width="15.5546875" customWidth="1"/>
    <col min="6" max="7" width="14.6640625" bestFit="1" customWidth="1"/>
  </cols>
  <sheetData>
    <row r="1" spans="1:7" x14ac:dyDescent="0.3">
      <c r="A1" t="s">
        <v>12</v>
      </c>
      <c r="B1" t="s">
        <v>18</v>
      </c>
      <c r="C1" t="s">
        <v>20</v>
      </c>
      <c r="D1" t="s">
        <v>13</v>
      </c>
      <c r="E1" t="s">
        <v>14</v>
      </c>
      <c r="F1" t="s">
        <v>15</v>
      </c>
      <c r="G1" t="s">
        <v>16</v>
      </c>
    </row>
    <row r="2" spans="1:7" x14ac:dyDescent="0.3">
      <c r="A2">
        <v>0</v>
      </c>
      <c r="B2" s="1">
        <f>'Data overview'!A2/Constants!$B$1*10^-3</f>
        <v>0</v>
      </c>
      <c r="C2" s="2">
        <f>(Constants!B$2*'Data overview'!A2*10^-3)/Constants!$B$1</f>
        <v>0</v>
      </c>
      <c r="D2" s="1">
        <f>'Raw data'!AE3</f>
        <v>7.1966666666666663</v>
      </c>
      <c r="E2" s="1">
        <f>'Raw data'!AF3</f>
        <v>5.1854497287013218E-2</v>
      </c>
      <c r="F2" s="1">
        <f>'Raw data'!J3</f>
        <v>7.32</v>
      </c>
      <c r="G2" s="1">
        <f>'Raw data'!K3</f>
        <v>9.8994949366116358E-2</v>
      </c>
    </row>
    <row r="3" spans="1:7" x14ac:dyDescent="0.3">
      <c r="A3" s="2">
        <v>0.1</v>
      </c>
      <c r="B3" s="1">
        <f>'Data overview'!A3/Constants!$B$1*10^-3</f>
        <v>0.50000000000000011</v>
      </c>
      <c r="C3" s="2">
        <f>(Constants!B$2*'Data overview'!A3*10^-3)/Constants!$B$1</f>
        <v>0.94185000000000019</v>
      </c>
      <c r="D3" s="1">
        <f>'Raw data'!AE4</f>
        <v>7.0066666666666668</v>
      </c>
      <c r="E3" s="1">
        <f>'Raw data'!AF4</f>
        <v>2.6246692913372824E-2</v>
      </c>
      <c r="F3" s="1">
        <f>'Raw data'!J4</f>
        <v>6.9633333333333338</v>
      </c>
      <c r="G3" s="1">
        <f>'Raw data'!K4</f>
        <v>3.0912061651652518E-2</v>
      </c>
    </row>
    <row r="4" spans="1:7" x14ac:dyDescent="0.3">
      <c r="A4" s="2">
        <v>0.2</v>
      </c>
      <c r="B4" s="1">
        <f>'Data overview'!A4/Constants!$B$1*10^-3</f>
        <v>1.0000000000000002</v>
      </c>
      <c r="C4" s="2">
        <f>(Constants!B$2*'Data overview'!A4*10^-3)/Constants!$B$1</f>
        <v>1.8837000000000004</v>
      </c>
      <c r="D4" s="1">
        <f>'Raw data'!AE5</f>
        <v>6.8666666666666671</v>
      </c>
      <c r="E4" s="1">
        <f>'Raw data'!AF5</f>
        <v>1.2472191289246601E-2</v>
      </c>
      <c r="F4" s="1">
        <f>'Raw data'!J5</f>
        <v>6.7</v>
      </c>
      <c r="G4" s="1">
        <f>'Raw data'!K5</f>
        <v>6.1644140029689889E-2</v>
      </c>
    </row>
    <row r="5" spans="1:7" x14ac:dyDescent="0.3">
      <c r="A5" s="2">
        <v>0.3</v>
      </c>
      <c r="B5" s="1">
        <f>'Data overview'!A5/Constants!$B$1*10^-3</f>
        <v>1.5</v>
      </c>
      <c r="C5" s="4">
        <f>(Constants!B$2*'Data overview'!A5*10^-3)/Constants!$B$1</f>
        <v>2.8255500000000002</v>
      </c>
      <c r="D5" s="1">
        <f>'Raw data'!AE6</f>
        <v>6.7233333333333336</v>
      </c>
      <c r="E5" s="1">
        <f>'Raw data'!AF6</f>
        <v>9.4280904158208518E-3</v>
      </c>
      <c r="F5" s="5">
        <f>'Raw data'!J6</f>
        <v>6.5166666666666666</v>
      </c>
      <c r="G5" s="1">
        <f>'Raw data'!K6</f>
        <v>6.6499791144200085E-2</v>
      </c>
    </row>
    <row r="6" spans="1:7" x14ac:dyDescent="0.3">
      <c r="A6" s="2">
        <v>0.4</v>
      </c>
      <c r="B6" s="1">
        <f>'Data overview'!A6/Constants!$B$1*10^-3</f>
        <v>2.0000000000000004</v>
      </c>
      <c r="C6" s="4">
        <f>(Constants!B$2*'Data overview'!A6*10^-3)/Constants!$B$1</f>
        <v>3.7674000000000007</v>
      </c>
      <c r="D6" s="1">
        <f>'Raw data'!AE7</f>
        <v>6.6866666666666674</v>
      </c>
      <c r="E6" s="1">
        <f>'Raw data'!AF7</f>
        <v>7.4087035902976148E-2</v>
      </c>
      <c r="F6" s="5">
        <f>'Raw data'!J7</f>
        <v>6.32</v>
      </c>
      <c r="G6" s="1">
        <f>'Raw data'!K7</f>
        <v>0.13880441875771338</v>
      </c>
    </row>
    <row r="7" spans="1:7" x14ac:dyDescent="0.3">
      <c r="A7" s="2">
        <v>0.5</v>
      </c>
      <c r="B7" s="5">
        <f>'Data overview'!A7/Constants!$B$1*10^-3</f>
        <v>2.5</v>
      </c>
      <c r="C7" s="2">
        <f>(Constants!B$2*'Data overview'!A7*10^-3)/Constants!$B$1</f>
        <v>4.7092499999999999</v>
      </c>
      <c r="D7" s="5">
        <f>'Raw data'!AE8</f>
        <v>6.59</v>
      </c>
      <c r="E7" s="1">
        <f>'Raw data'!AF8</f>
        <v>6.6833125519211403E-2</v>
      </c>
      <c r="F7" s="1">
        <f>'Raw data'!J8</f>
        <v>6.2299999999999995</v>
      </c>
      <c r="G7" s="1">
        <f>'Raw data'!K8</f>
        <v>5.7154760664940692E-2</v>
      </c>
    </row>
    <row r="8" spans="1:7" x14ac:dyDescent="0.3">
      <c r="A8" s="2">
        <v>0.6</v>
      </c>
      <c r="B8" s="5">
        <f>'Data overview'!A8/Constants!$B$1*10^-3</f>
        <v>3</v>
      </c>
      <c r="C8" s="2">
        <f>(Constants!B$2*'Data overview'!A8*10^-3)/Constants!$B$1</f>
        <v>5.6511000000000005</v>
      </c>
      <c r="D8" s="5">
        <f>'Raw data'!AE9</f>
        <v>6.5333333333333341</v>
      </c>
      <c r="E8" s="1">
        <f>'Raw data'!AF9</f>
        <v>9.1043335224984395E-2</v>
      </c>
      <c r="F8" s="1">
        <f>'Raw data'!J9</f>
        <v>6.1000000000000005</v>
      </c>
      <c r="G8" s="1">
        <f>'Raw data'!K9</f>
        <v>7.1180521680208886E-2</v>
      </c>
    </row>
    <row r="9" spans="1:7" x14ac:dyDescent="0.3">
      <c r="A9" s="2">
        <v>0.7</v>
      </c>
      <c r="B9" s="1">
        <f>'Data overview'!A9/Constants!$B$1*10^-3</f>
        <v>3.5</v>
      </c>
      <c r="C9" s="2">
        <f>(Constants!B$2*'Data overview'!A9*10^-3)/Constants!$B$1</f>
        <v>6.5929500000000001</v>
      </c>
      <c r="D9" s="1">
        <f>'Raw data'!AE10</f>
        <v>6.4899999999999993</v>
      </c>
      <c r="E9" s="1">
        <f>'Raw data'!AF10</f>
        <v>0.1275408431313933</v>
      </c>
      <c r="F9" s="1">
        <f>'Raw data'!J10</f>
        <v>5.9666666666666659</v>
      </c>
      <c r="G9" s="1">
        <f>'Raw data'!K10</f>
        <v>7.8457348639598953E-2</v>
      </c>
    </row>
    <row r="10" spans="1:7" x14ac:dyDescent="0.3">
      <c r="A10" s="2">
        <v>0.8</v>
      </c>
      <c r="B10" s="1">
        <f>'Data overview'!A10/Constants!$B$1*10^-3</f>
        <v>4.0000000000000009</v>
      </c>
      <c r="C10" s="2">
        <f>(Constants!B$2*'Data overview'!A10*10^-3)/Constants!$B$1</f>
        <v>7.5348000000000015</v>
      </c>
      <c r="D10" s="1">
        <f>'Raw data'!AE11</f>
        <v>6.34</v>
      </c>
      <c r="E10" s="1">
        <f>'Raw data'!AF11</f>
        <v>8.164965809277086E-3</v>
      </c>
      <c r="F10" s="1">
        <f>'Raw data'!J11</f>
        <v>5.8166666666666664</v>
      </c>
      <c r="G10" s="1">
        <f>'Raw data'!K11</f>
        <v>9.4633797110522791E-2</v>
      </c>
    </row>
    <row r="11" spans="1:7" x14ac:dyDescent="0.3">
      <c r="A11" s="2">
        <v>0.9</v>
      </c>
      <c r="B11" s="1">
        <f>'Data overview'!A11/Constants!$B$1*10^-3</f>
        <v>4.5000000000000009</v>
      </c>
      <c r="C11" s="2">
        <f>(Constants!B$2*'Data overview'!A11*10^-3)/Constants!$B$1</f>
        <v>8.4766500000000011</v>
      </c>
      <c r="D11" s="1">
        <f>'Raw data'!AE12</f>
        <v>6.28</v>
      </c>
      <c r="E11" s="1">
        <f>'Raw data'!AF12</f>
        <v>4.3204937989385635E-2</v>
      </c>
      <c r="F11" s="1">
        <f>'Raw data'!J12</f>
        <v>5.6966666666666663</v>
      </c>
      <c r="G11" s="1">
        <f>'Raw data'!K12</f>
        <v>0.13274871834493268</v>
      </c>
    </row>
    <row r="12" spans="1:7" x14ac:dyDescent="0.3">
      <c r="A12" s="2">
        <v>1</v>
      </c>
      <c r="B12" s="1">
        <f>'Data overview'!A12/Constants!$B$1*10^-3</f>
        <v>5</v>
      </c>
      <c r="C12" s="2">
        <f>(Constants!B$2*'Data overview'!A12*10^-3)/Constants!$B$1</f>
        <v>9.4184999999999999</v>
      </c>
      <c r="D12" s="1">
        <f>'Raw data'!AE13</f>
        <v>6.1866666666666674</v>
      </c>
      <c r="E12" s="1">
        <f>'Raw data'!AF13</f>
        <v>2.0548046676563202E-2</v>
      </c>
      <c r="F12" s="1">
        <f>'Raw data'!J13</f>
        <v>5.5166666666666666</v>
      </c>
      <c r="G12" s="1">
        <f>'Raw data'!K13</f>
        <v>0.1643843734125062</v>
      </c>
    </row>
    <row r="13" spans="1:7" x14ac:dyDescent="0.3">
      <c r="A13" s="2">
        <v>1.1000000000000001</v>
      </c>
      <c r="B13" s="1">
        <f>'Data overview'!A13/Constants!$B$1*10^-3</f>
        <v>5.5000000000000009</v>
      </c>
      <c r="C13" s="2">
        <f>(Constants!B$2*'Data overview'!A13*10^-3)/Constants!$B$1</f>
        <v>10.360350000000002</v>
      </c>
      <c r="D13" s="1">
        <f>'Raw data'!AE14</f>
        <v>6.12</v>
      </c>
      <c r="E13" s="1">
        <f>'Raw data'!AF14</f>
        <v>2.1602468994692817E-2</v>
      </c>
      <c r="F13" s="1">
        <f>'Raw data'!J14</f>
        <v>5.3266666666666671</v>
      </c>
      <c r="G13" s="1">
        <f>'Raw data'!K14</f>
        <v>0.15195028426721977</v>
      </c>
    </row>
    <row r="14" spans="1:7" x14ac:dyDescent="0.3">
      <c r="A14" s="2">
        <v>1.2</v>
      </c>
      <c r="B14" s="1">
        <f>'Data overview'!A14/Constants!$B$1*10^-3</f>
        <v>6</v>
      </c>
      <c r="C14" s="2">
        <f>(Constants!B$2*'Data overview'!A14*10^-3)/Constants!$B$1</f>
        <v>11.302200000000001</v>
      </c>
      <c r="D14" s="1">
        <f>'Raw data'!AE15</f>
        <v>6.07</v>
      </c>
      <c r="E14" s="1">
        <f>'Raw data'!AF15</f>
        <v>1.6329931618554536E-2</v>
      </c>
      <c r="F14" s="1">
        <f>'Raw data'!J15</f>
        <v>5.1966666666666663</v>
      </c>
      <c r="G14" s="1">
        <f>'Raw data'!K15</f>
        <v>0.21638443156156653</v>
      </c>
    </row>
    <row r="15" spans="1:7" x14ac:dyDescent="0.3">
      <c r="A15" s="2">
        <v>1.3</v>
      </c>
      <c r="B15" s="1">
        <f>'Data overview'!A15/Constants!$B$1*10^-3</f>
        <v>6.5000000000000009</v>
      </c>
      <c r="C15" s="2">
        <f>(Constants!B$2*'Data overview'!A15*10^-3)/Constants!$B$1</f>
        <v>12.244050000000001</v>
      </c>
      <c r="D15" s="1">
        <f>'Raw data'!AE16</f>
        <v>6</v>
      </c>
      <c r="E15" s="1">
        <f>'Raw data'!AF16</f>
        <v>8.164965809277086E-3</v>
      </c>
      <c r="F15" s="1">
        <f>'Raw data'!J16</f>
        <v>5.1233333333333331</v>
      </c>
      <c r="G15" s="1">
        <f>'Raw data'!K16</f>
        <v>0.27644569488820442</v>
      </c>
    </row>
    <row r="16" spans="1:7" x14ac:dyDescent="0.3">
      <c r="A16" s="2">
        <v>1.4</v>
      </c>
      <c r="B16" s="1">
        <f>'Data overview'!A16/Constants!$B$1*10^-3</f>
        <v>7</v>
      </c>
      <c r="C16" s="2">
        <f>(Constants!B$2*'Data overview'!A16*10^-3)/Constants!$B$1</f>
        <v>13.1859</v>
      </c>
      <c r="D16" s="1">
        <f>'Raw data'!AE17</f>
        <v>5.9366666666666674</v>
      </c>
      <c r="E16" s="1">
        <f>'Raw data'!AF17</f>
        <v>4.7140452079106349E-3</v>
      </c>
      <c r="F16" s="1">
        <f>'Raw data'!J17</f>
        <v>4.87</v>
      </c>
      <c r="G16" s="1">
        <f>'Raw data'!K17</f>
        <v>0.2471167065713418</v>
      </c>
    </row>
    <row r="17" spans="1:7" x14ac:dyDescent="0.3">
      <c r="A17" s="2">
        <v>1.5</v>
      </c>
      <c r="B17" s="1">
        <f>'Data overview'!A17/Constants!$B$1*10^-3</f>
        <v>7.5000000000000009</v>
      </c>
      <c r="C17" s="2">
        <f>(Constants!B$2*'Data overview'!A17*10^-3)/Constants!$B$1</f>
        <v>14.127750000000001</v>
      </c>
      <c r="D17" s="1">
        <f>'Raw data'!AE18</f>
        <v>5.876666666666666</v>
      </c>
      <c r="E17" s="1">
        <f>'Raw data'!AF18</f>
        <v>4.714045207910216E-3</v>
      </c>
      <c r="F17" s="1">
        <f>'Raw data'!J18</f>
        <v>4.7</v>
      </c>
      <c r="G17" s="1">
        <f>'Raw data'!K18</f>
        <v>0.19612920911140874</v>
      </c>
    </row>
    <row r="18" spans="1:7" x14ac:dyDescent="0.3">
      <c r="A18" s="2">
        <v>1.6</v>
      </c>
      <c r="B18" s="1">
        <f>'Data overview'!A18/Constants!$B$1*10^-3</f>
        <v>8.0000000000000018</v>
      </c>
      <c r="C18" s="2">
        <f>(Constants!B$2*'Data overview'!A18*10^-3)/Constants!$B$1</f>
        <v>15.069600000000003</v>
      </c>
      <c r="D18" s="1">
        <f>'Raw data'!AE19</f>
        <v>5.8033333333333337</v>
      </c>
      <c r="E18" s="1">
        <f>'Raw data'!AF19</f>
        <v>9.428090415820432E-3</v>
      </c>
      <c r="F18" s="1">
        <f>'Raw data'!J19</f>
        <v>4.5733333333333333</v>
      </c>
      <c r="G18" s="1">
        <f>'Raw data'!K19</f>
        <v>0.25037749277618576</v>
      </c>
    </row>
    <row r="19" spans="1:7" x14ac:dyDescent="0.3">
      <c r="A19" s="2">
        <v>1.7</v>
      </c>
      <c r="B19" s="1">
        <f>'Data overview'!A19/Constants!$B$1*10^-3</f>
        <v>8.5</v>
      </c>
      <c r="C19" s="2">
        <f>(Constants!B$2*'Data overview'!A19*10^-3)/Constants!$B$1</f>
        <v>16.01145</v>
      </c>
      <c r="D19" s="1">
        <f>'Raw data'!AE20</f>
        <v>5.7433333333333332</v>
      </c>
      <c r="E19" s="1">
        <f>'Raw data'!AF20</f>
        <v>4.714045207910216E-3</v>
      </c>
      <c r="F19" s="1">
        <f>'Raw data'!J20</f>
        <v>4.4799999999999995</v>
      </c>
      <c r="G19" s="1">
        <f>'Raw data'!K20</f>
        <v>0.33536050254415273</v>
      </c>
    </row>
    <row r="20" spans="1:7" x14ac:dyDescent="0.3">
      <c r="A20" s="2">
        <v>1.8</v>
      </c>
      <c r="B20" s="1">
        <f>'Data overview'!A20/Constants!$B$1*10^-3</f>
        <v>9.0000000000000018</v>
      </c>
      <c r="C20" s="2">
        <f>(Constants!B$2*'Data overview'!A20*10^-3)/Constants!$B$1</f>
        <v>16.953300000000002</v>
      </c>
      <c r="D20" s="1">
        <f>'Raw data'!AE21</f>
        <v>5.6833333333333336</v>
      </c>
      <c r="E20" s="1">
        <f>'Raw data'!AF21</f>
        <v>9.4280904158208518E-3</v>
      </c>
      <c r="F20" s="1">
        <f>'Raw data'!J21</f>
        <v>4.2666666666666666</v>
      </c>
      <c r="G20" s="1">
        <f>'Raw data'!K21</f>
        <v>0.36917325050562488</v>
      </c>
    </row>
    <row r="21" spans="1:7" x14ac:dyDescent="0.3">
      <c r="A21" s="2">
        <v>1.9</v>
      </c>
      <c r="B21" s="1">
        <f>'Data overview'!A21/Constants!$B$1*10^-3</f>
        <v>9.5</v>
      </c>
      <c r="C21" s="2">
        <f>(Constants!B$2*'Data overview'!A21*10^-3)/Constants!$B$1</f>
        <v>17.895150000000001</v>
      </c>
      <c r="D21" s="1">
        <f>'Raw data'!AE22</f>
        <v>5.62</v>
      </c>
      <c r="E21" s="1">
        <f>'Raw data'!AF22</f>
        <v>8.164965809277086E-3</v>
      </c>
      <c r="F21" s="1">
        <f>'Raw data'!J22</f>
        <v>4.0366666666666671</v>
      </c>
      <c r="G21" s="1">
        <f>'Raw data'!K22</f>
        <v>0.44604434258888848</v>
      </c>
    </row>
    <row r="22" spans="1:7" x14ac:dyDescent="0.3">
      <c r="A22" s="2">
        <v>2</v>
      </c>
      <c r="B22" s="1">
        <f>'Data overview'!A22/Constants!$B$1*10^-3</f>
        <v>10</v>
      </c>
      <c r="C22" s="2">
        <f>(Constants!B$2*'Data overview'!A22*10^-3)/Constants!$B$1</f>
        <v>18.837</v>
      </c>
      <c r="D22" s="1">
        <f>'Raw data'!AE23</f>
        <v>5.56</v>
      </c>
      <c r="E22" s="1">
        <f>'Raw data'!AF23</f>
        <v>1.4142135623731067E-2</v>
      </c>
      <c r="F22" s="1">
        <f>'Raw data'!J23</f>
        <v>3.6633333333333336</v>
      </c>
      <c r="G22" s="1">
        <f>'Raw data'!K23</f>
        <v>0.51135984285910463</v>
      </c>
    </row>
    <row r="23" spans="1:7" x14ac:dyDescent="0.3">
      <c r="A23" s="2">
        <v>2.1</v>
      </c>
      <c r="B23" s="1">
        <f>'Data overview'!A23/Constants!$B$1*10^-3</f>
        <v>10.500000000000002</v>
      </c>
      <c r="C23" s="2">
        <f>(Constants!B$2*'Data overview'!A23*10^-3)/Constants!$B$1</f>
        <v>19.778850000000002</v>
      </c>
      <c r="D23" s="1">
        <f>'Raw data'!AE24</f>
        <v>5.5066666666666668</v>
      </c>
      <c r="E23" s="1">
        <f>'Raw data'!AF24</f>
        <v>1.2472191289246206E-2</v>
      </c>
      <c r="F23" s="1">
        <f>'Raw data'!J24</f>
        <v>3.3366666666666673</v>
      </c>
      <c r="G23" s="1">
        <f>'Raw data'!K24</f>
        <v>0.59634069307923177</v>
      </c>
    </row>
    <row r="24" spans="1:7" x14ac:dyDescent="0.3">
      <c r="A24" s="2">
        <v>2.2000000000000002</v>
      </c>
      <c r="B24" s="1">
        <f>'Data overview'!A24/Constants!$B$1*10^-3</f>
        <v>11.000000000000002</v>
      </c>
      <c r="C24" s="2">
        <f>(Constants!B$2*'Data overview'!A24*10^-3)/Constants!$B$1</f>
        <v>20.720700000000004</v>
      </c>
      <c r="D24" s="1">
        <f>'Raw data'!AE25</f>
        <v>5.4566666666666661</v>
      </c>
      <c r="E24" s="1">
        <f>'Raw data'!AF25</f>
        <v>1.8856180831641284E-2</v>
      </c>
      <c r="F24" s="1">
        <f>'Raw data'!J25</f>
        <v>3.1366666666666667</v>
      </c>
      <c r="G24" s="1">
        <f>'Raw data'!K25</f>
        <v>0.64220107616090416</v>
      </c>
    </row>
    <row r="25" spans="1:7" x14ac:dyDescent="0.3">
      <c r="A25" s="2">
        <v>2.2999999999999998</v>
      </c>
      <c r="B25" s="1">
        <f>'Data overview'!A25/Constants!$B$1*10^-3</f>
        <v>11.5</v>
      </c>
      <c r="C25" s="2">
        <f>(Constants!B$2*'Data overview'!A25*10^-3)/Constants!$B$1</f>
        <v>21.66255</v>
      </c>
      <c r="D25" s="1">
        <f>'Raw data'!AE26</f>
        <v>5.4033333333333333</v>
      </c>
      <c r="E25" s="1">
        <f>'Raw data'!AF26</f>
        <v>1.6996731711975993E-2</v>
      </c>
      <c r="F25" s="1">
        <f>'Raw data'!J26</f>
        <v>3.01</v>
      </c>
      <c r="G25" s="1">
        <f>'Raw data'!K26</f>
        <v>0.67828214385067465</v>
      </c>
    </row>
    <row r="26" spans="1:7" x14ac:dyDescent="0.3">
      <c r="A26" s="2">
        <v>2.4</v>
      </c>
      <c r="B26" s="1">
        <f>'Data overview'!A26/Constants!$B$1*10^-3</f>
        <v>12</v>
      </c>
      <c r="C26" s="2">
        <f>(Constants!B$2*'Data overview'!A26*10^-3)/Constants!$B$1</f>
        <v>22.604400000000002</v>
      </c>
      <c r="D26" s="1">
        <f>'Raw data'!AE27</f>
        <v>5.3566666666666665</v>
      </c>
      <c r="E26" s="1">
        <f>'Raw data'!AF27</f>
        <v>1.2472191289246601E-2</v>
      </c>
      <c r="F26" s="1">
        <f>'Raw data'!J27</f>
        <v>2.7000000000000006</v>
      </c>
      <c r="G26" s="1">
        <f>'Raw data'!K27</f>
        <v>0.76293293720134014</v>
      </c>
    </row>
    <row r="27" spans="1:7" x14ac:dyDescent="0.3">
      <c r="A27" s="2">
        <v>2.5</v>
      </c>
      <c r="B27" s="1">
        <f>'Data overview'!A27/Constants!$B$1*10^-3</f>
        <v>12.500000000000002</v>
      </c>
      <c r="C27" s="2">
        <f>(Constants!B$2*'Data overview'!A27*10^-3)/Constants!$B$1</f>
        <v>23.546250000000001</v>
      </c>
      <c r="D27" s="1">
        <f>'Raw data'!AE28</f>
        <v>5.3133333333333335</v>
      </c>
      <c r="E27" s="1">
        <f>'Raw data'!AF28</f>
        <v>2.0548046676563202E-2</v>
      </c>
      <c r="F27" s="1">
        <f>'Raw data'!J28</f>
        <v>2.2766666666666668</v>
      </c>
      <c r="G27" s="1">
        <f>'Raw data'!K28</f>
        <v>0.41907305117630966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AA5AF-4BD7-49B1-8EB2-20CA844C309D}">
  <dimension ref="A1:B2"/>
  <sheetViews>
    <sheetView workbookViewId="0">
      <selection activeCell="B3" sqref="B3"/>
    </sheetView>
  </sheetViews>
  <sheetFormatPr defaultRowHeight="14.4" x14ac:dyDescent="0.3"/>
  <cols>
    <col min="1" max="1" width="14.5546875" bestFit="1" customWidth="1"/>
  </cols>
  <sheetData>
    <row r="1" spans="1:2" x14ac:dyDescent="0.3">
      <c r="A1" t="s">
        <v>17</v>
      </c>
      <c r="B1">
        <f>200*10^-6</f>
        <v>1.9999999999999998E-4</v>
      </c>
    </row>
    <row r="2" spans="1:2" x14ac:dyDescent="0.3">
      <c r="A2" s="3" t="s">
        <v>19</v>
      </c>
      <c r="B2">
        <v>1.8836999999999999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Data overview</vt:lpstr>
      <vt:lpstr>Constants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Løvig Larsen</dc:creator>
  <cp:lastModifiedBy>Mikael Løvig Larsen</cp:lastModifiedBy>
  <dcterms:created xsi:type="dcterms:W3CDTF">2015-06-05T18:19:34Z</dcterms:created>
  <dcterms:modified xsi:type="dcterms:W3CDTF">2025-11-11T13:22:18Z</dcterms:modified>
</cp:coreProperties>
</file>