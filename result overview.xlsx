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"/>
    </mc:Choice>
  </mc:AlternateContent>
  <xr:revisionPtr revIDLastSave="0" documentId="13_ncr:1_{1D73E80D-8D82-468A-B104-B2C319D451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Relative treatments dif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2" l="1"/>
  <c r="P9" i="2"/>
  <c r="O3" i="2"/>
  <c r="P3" i="2"/>
  <c r="Q3" i="2"/>
  <c r="P15" i="2"/>
  <c r="R4" i="2" s="1"/>
  <c r="R3" i="2"/>
  <c r="G4" i="2"/>
  <c r="G3" i="2"/>
  <c r="P12" i="2"/>
  <c r="F17" i="2"/>
  <c r="AM6" i="2"/>
  <c r="AL6" i="2"/>
  <c r="AM3" i="2"/>
  <c r="AL3" i="2"/>
  <c r="AK4" i="2"/>
  <c r="AK5" i="2"/>
  <c r="AK6" i="2"/>
  <c r="AK7" i="2"/>
  <c r="AK8" i="2"/>
  <c r="AK3" i="2"/>
  <c r="AQ3" i="2"/>
  <c r="AP3" i="2"/>
  <c r="AB8" i="2"/>
  <c r="AA8" i="2"/>
  <c r="AB5" i="2"/>
  <c r="AA5" i="2"/>
  <c r="Z4" i="2"/>
  <c r="Z5" i="2"/>
  <c r="Z6" i="2"/>
  <c r="Z7" i="2"/>
  <c r="Z8" i="2"/>
  <c r="Z3" i="2"/>
  <c r="AF3" i="2"/>
  <c r="AE3" i="2"/>
  <c r="U3" i="2"/>
  <c r="Q15" i="2"/>
  <c r="Q12" i="2"/>
  <c r="O13" i="2"/>
  <c r="O14" i="2"/>
  <c r="O15" i="2"/>
  <c r="O16" i="2"/>
  <c r="O17" i="2"/>
  <c r="O12" i="2"/>
  <c r="Q9" i="2"/>
  <c r="O11" i="2"/>
  <c r="O4" i="2"/>
  <c r="O5" i="2"/>
  <c r="T3" i="2"/>
  <c r="T4" i="2"/>
  <c r="U4" i="2"/>
  <c r="D18" i="2"/>
  <c r="D19" i="2"/>
  <c r="D17" i="2"/>
  <c r="F14" i="2"/>
  <c r="E14" i="2"/>
  <c r="D16" i="2"/>
  <c r="D15" i="2"/>
  <c r="F11" i="2"/>
  <c r="J3" i="2"/>
  <c r="J4" i="2"/>
  <c r="D14" i="2"/>
  <c r="D12" i="2"/>
  <c r="D13" i="2"/>
  <c r="D11" i="2"/>
  <c r="E11" i="2" s="1"/>
  <c r="D7" i="2"/>
  <c r="D8" i="2"/>
  <c r="D6" i="2"/>
  <c r="I3" i="2"/>
  <c r="I4" i="2"/>
  <c r="E17" i="2" l="1"/>
  <c r="E6" i="2"/>
  <c r="F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tc={54E47DF3-936A-4570-A3E8-C4A3A967DF3F}</author>
    <author>tc={225D5059-791A-4C15-9099-7D393F713A94}</author>
    <author>tc={2BF997EB-A755-42EF-9495-7D3D08B940D5}</author>
    <author>tc={3F032B94-2F71-4731-A5D2-2E3158A4C99C}</author>
    <author>tc={6868C9D6-1E87-4208-BF2F-68E1524E142C}</author>
    <author>tc={4DC9F580-D8E6-410C-B7EC-2FEB8035CB3D}</author>
    <author>tc={47419ECF-0875-4CC3-9AA0-5F57554FE076}</author>
    <author>tc={44062C99-A335-499A-B146-DFAA7C3A67FE}</author>
    <author>tc={3BA6B266-12A9-4787-B802-A5E7AD8E7BC8}</author>
    <author>tc={8C06EF5B-7939-4F05-8EDF-4D0EEF8A9B63}</author>
  </authors>
  <commentList>
    <comment ref="E1" authorId="0" shapeId="0" xr:uid="{54E47DF3-936A-4570-A3E8-C4A3A967DF3F}">
      <text>
        <t>[Threaded comment]
Your version of Excel allows you to read this threaded comment; however, any edits to it will get removed if the file is opened in a newer version of Excel. Learn more: https://go.microsoft.com/fwlink/?linkid=870924
Comment:
    Untreated used as reference</t>
      </text>
    </comment>
    <comment ref="I10" authorId="1" shapeId="0" xr:uid="{225D5059-791A-4C15-9099-7D393F713A94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Indoor temperaure assumed constant</t>
      </text>
    </comment>
    <comment ref="K13" authorId="2" shapeId="0" xr:uid="{2BF997EB-A755-42EF-9495-7D3D08B940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meassured but assumed stable</t>
      </text>
    </comment>
    <comment ref="G16" authorId="3" shapeId="0" xr:uid="{3F032B94-2F71-4731-A5D2-2E3158A4C99C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  <comment ref="J17" authorId="4" shapeId="0" xr:uid="{6868C9D6-1E87-4208-BF2F-68E1524E142C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  <comment ref="K17" authorId="5" shapeId="0" xr:uid="{4DC9F580-D8E6-410C-B7EC-2FEB8035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  <comment ref="J20" authorId="6" shapeId="0" xr:uid="{47419ECF-0875-4CC3-9AA0-5F57554FE076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  <comment ref="K20" authorId="7" shapeId="0" xr:uid="{44062C99-A335-499A-B146-DFAA7C3A67FE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  <comment ref="F23" authorId="8" shapeId="0" xr:uid="{3BA6B266-12A9-4787-B802-A5E7AD8E7BC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meassured, but fairly stable in previous experiments</t>
      </text>
    </comment>
    <comment ref="G23" authorId="9" shapeId="0" xr:uid="{8C06EF5B-7939-4F05-8EDF-4D0EEF8A9B63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</commentList>
</comments>
</file>

<file path=xl/sharedStrings.xml><?xml version="1.0" encoding="utf-8"?>
<sst xmlns="http://schemas.openxmlformats.org/spreadsheetml/2006/main" count="248" uniqueCount="141">
  <si>
    <t>ID</t>
  </si>
  <si>
    <t>Field Cattle AA</t>
  </si>
  <si>
    <t>Field Cattle H2SO4</t>
  </si>
  <si>
    <t>Field cattle untreated</t>
  </si>
  <si>
    <t>Field Pig AA</t>
  </si>
  <si>
    <t>Field pig H2SO4</t>
  </si>
  <si>
    <t>Field pig Untreated</t>
  </si>
  <si>
    <t>Field  Pig Trailing Hose</t>
  </si>
  <si>
    <t>Field Pig Open slot injection</t>
  </si>
  <si>
    <t>Lab Cattle AA Field-soil</t>
  </si>
  <si>
    <t>Lab Cattle H2SO4 Field-soil</t>
  </si>
  <si>
    <t>Lab Cattle Untreated Field-soil</t>
  </si>
  <si>
    <t>Lab Cattle AA Packed-soil</t>
  </si>
  <si>
    <t>Lab Cattle H2SO4 Packed-soil</t>
  </si>
  <si>
    <t>Lab Cattle Untreated Packed soil</t>
  </si>
  <si>
    <t>Lab Pig H2SO4 Field-soil</t>
  </si>
  <si>
    <t>Lab Pig AA field-soil</t>
  </si>
  <si>
    <t>Lab Pig Untreated Field-soil</t>
  </si>
  <si>
    <t>Lab Pig AA Packed Soil</t>
  </si>
  <si>
    <t>Lab Pig H2SO4 Packed soil</t>
  </si>
  <si>
    <t>Lab Pig Untreated Packed soil</t>
  </si>
  <si>
    <t>relative accumulated emission (% slurry TAN)</t>
  </si>
  <si>
    <t>Coeficient of variation (%)</t>
  </si>
  <si>
    <t>integration range (start, end) [h]</t>
  </si>
  <si>
    <t>(6.17, 169.01)</t>
  </si>
  <si>
    <t>(0.25, 139.98)</t>
  </si>
  <si>
    <r>
      <t xml:space="preserve">10.2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2.0</t>
    </r>
  </si>
  <si>
    <r>
      <t xml:space="preserve">10.1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2.4</t>
    </r>
  </si>
  <si>
    <r>
      <t xml:space="preserve">15.8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</si>
  <si>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9.0 </t>
    </r>
    <r>
      <rPr>
        <sz val="11"/>
        <color theme="1"/>
        <rFont val="Aptos Narrow"/>
        <family val="2"/>
      </rPr>
      <t xml:space="preserve">± </t>
    </r>
    <r>
      <rPr>
        <sz val="11"/>
        <color theme="1"/>
        <rFont val="Calibri"/>
        <family val="2"/>
      </rPr>
      <t>5.1</t>
    </r>
  </si>
  <si>
    <r>
      <t xml:space="preserve">8.9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6.0</t>
    </r>
  </si>
  <si>
    <r>
      <t xml:space="preserve">19.8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7.7</t>
    </r>
  </si>
  <si>
    <r>
      <t xml:space="preserve">4.1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</si>
  <si>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7.9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3.3</t>
    </r>
  </si>
  <si>
    <r>
      <t xml:space="preserve">8.1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10.2</t>
    </r>
  </si>
  <si>
    <t>(0.537, 162.089)</t>
  </si>
  <si>
    <r>
      <t xml:space="preserve">2.7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</si>
  <si>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r>
      <t xml:space="preserve">2.6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</si>
  <si>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t>4.9 ±  1.5</t>
  </si>
  <si>
    <t>4.6 ±  1.6</t>
  </si>
  <si>
    <t>(0.26, 139.7</t>
  </si>
  <si>
    <t>(0.26, 139.7)</t>
  </si>
  <si>
    <t>-0.02 ± 0.98</t>
  </si>
  <si>
    <r>
      <t xml:space="preserve">0.4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  <scheme val="minor"/>
      </rPr>
      <t xml:space="preserve"> 0.8</t>
    </r>
  </si>
  <si>
    <r>
      <t xml:space="preserve">-0.08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</rPr>
      <t>.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</rPr>
      <t>7</t>
    </r>
  </si>
  <si>
    <r>
      <t xml:space="preserve">4.6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3.1</t>
    </r>
  </si>
  <si>
    <r>
      <t xml:space="preserve">0.5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</si>
  <si>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r>
      <t xml:space="preserve">-0.4 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0.4</t>
    </r>
  </si>
  <si>
    <r>
      <t xml:space="preserve">1.0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</si>
  <si>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t>slurry pH at application</t>
  </si>
  <si>
    <t>NH4-N [g/L]</t>
  </si>
  <si>
    <t>Slurry %DM</t>
  </si>
  <si>
    <r>
      <t xml:space="preserve">5.6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Calibri"/>
        <family val="2"/>
        <scheme val="minor"/>
      </rPr>
      <t>.0</t>
    </r>
  </si>
  <si>
    <r>
      <t xml:space="preserve">5.3 </t>
    </r>
    <r>
      <rPr>
        <sz val="11"/>
        <color theme="1"/>
        <rFont val="Aptos Narrow"/>
        <family val="2"/>
      </rPr>
      <t xml:space="preserve">± </t>
    </r>
    <r>
      <rPr>
        <sz val="11"/>
        <color theme="1"/>
        <rFont val="Calibri"/>
        <family val="2"/>
      </rPr>
      <t>0.1</t>
    </r>
  </si>
  <si>
    <r>
      <t xml:space="preserve">5.7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</si>
  <si>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t>Soil pH</t>
  </si>
  <si>
    <r>
      <t xml:space="preserve">1.86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0.04</t>
    </r>
  </si>
  <si>
    <t>ammonium carbonate STD on packed</t>
  </si>
  <si>
    <r>
      <t xml:space="preserve">14.9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4.5</t>
    </r>
  </si>
  <si>
    <r>
      <t xml:space="preserve">11.9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5.4</t>
    </r>
  </si>
  <si>
    <r>
      <t xml:space="preserve">1.83 </t>
    </r>
    <r>
      <rPr>
        <sz val="11"/>
        <color theme="1"/>
        <rFont val="Aptos Narrow"/>
        <family val="2"/>
      </rPr>
      <t xml:space="preserve">± </t>
    </r>
    <r>
      <rPr>
        <sz val="11"/>
        <color theme="1"/>
        <rFont val="Calibri"/>
        <family val="2"/>
      </rPr>
      <t>0.10</t>
    </r>
  </si>
  <si>
    <r>
      <t xml:space="preserve">1.96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0.04</t>
    </r>
  </si>
  <si>
    <r>
      <t xml:space="preserve">6.87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1.6</t>
    </r>
    <r>
      <rPr>
        <sz val="11"/>
        <color theme="1"/>
        <rFont val="Calibri"/>
        <family val="2"/>
        <scheme val="minor"/>
      </rPr>
      <t>1</t>
    </r>
  </si>
  <si>
    <r>
      <t xml:space="preserve">7.04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0.06</t>
    </r>
  </si>
  <si>
    <r>
      <t xml:space="preserve">6.76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  <scheme val="minor"/>
      </rPr>
      <t xml:space="preserve"> 0.08</t>
    </r>
  </si>
  <si>
    <t>-</t>
  </si>
  <si>
    <r>
      <t xml:space="preserve">5.80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0.01</t>
    </r>
  </si>
  <si>
    <r>
      <t xml:space="preserve">17.0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1.0</t>
    </r>
  </si>
  <si>
    <r>
      <t xml:space="preserve">17.0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Calibri"/>
        <family val="2"/>
        <scheme val="minor"/>
      </rPr>
      <t>.0</t>
    </r>
  </si>
  <si>
    <r>
      <t xml:space="preserve">24.0 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</si>
  <si>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r>
      <t xml:space="preserve">24.0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</si>
  <si>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r>
      <t xml:space="preserve">24.0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</si>
  <si>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24.0 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</si>
  <si>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18.0 </t>
    </r>
    <r>
      <rPr>
        <sz val="11"/>
        <color theme="1"/>
        <rFont val="Aptos Narrow"/>
        <family val="2"/>
      </rPr>
      <t>± 0.0</t>
    </r>
  </si>
  <si>
    <r>
      <t xml:space="preserve">23.0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</si>
  <si>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23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</si>
  <si>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3.40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0.2</t>
    </r>
  </si>
  <si>
    <r>
      <t xml:space="preserve">3.40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0.09</t>
    </r>
  </si>
  <si>
    <r>
      <t xml:space="preserve">3.4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0.5</t>
    </r>
    <r>
      <rPr>
        <sz val="11"/>
        <color theme="1"/>
        <rFont val="Calibri"/>
        <family val="2"/>
        <scheme val="minor"/>
      </rPr>
      <t>0</t>
    </r>
  </si>
  <si>
    <r>
      <t xml:space="preserve">3.50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Calibri"/>
        <family val="2"/>
        <scheme val="minor"/>
      </rPr>
      <t>.00</t>
    </r>
  </si>
  <si>
    <t>Temperature (min, mean, max) [celsius]</t>
  </si>
  <si>
    <r>
      <t xml:space="preserve">2.13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0.04</t>
    </r>
  </si>
  <si>
    <r>
      <t xml:space="preserve">2.16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0.06</t>
    </r>
  </si>
  <si>
    <r>
      <t xml:space="preserve">2.16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0.02</t>
    </r>
  </si>
  <si>
    <r>
      <t xml:space="preserve">3.66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0.12</t>
    </r>
  </si>
  <si>
    <r>
      <t xml:space="preserve">3.50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1.00</t>
    </r>
  </si>
  <si>
    <r>
      <t xml:space="preserve">3.68 </t>
    </r>
    <r>
      <rPr>
        <sz val="11"/>
        <color theme="1"/>
        <rFont val="Aptos Narrow"/>
        <family val="2"/>
      </rPr>
      <t>±0.04</t>
    </r>
  </si>
  <si>
    <r>
      <t xml:space="preserve">3.60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0.07</t>
    </r>
  </si>
  <si>
    <r>
      <t xml:space="preserve">3.65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0.04</t>
    </r>
  </si>
  <si>
    <r>
      <t xml:space="preserve">7.23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0.06</t>
    </r>
  </si>
  <si>
    <r>
      <t xml:space="preserve">7.25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0.06</t>
    </r>
  </si>
  <si>
    <r>
      <t xml:space="preserve">7.42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0.05</t>
    </r>
  </si>
  <si>
    <r>
      <t xml:space="preserve">5.96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0.07</t>
    </r>
  </si>
  <si>
    <t>Relative treatment differences (%)</t>
  </si>
  <si>
    <r>
      <t xml:space="preserve">5.96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0.05</t>
    </r>
  </si>
  <si>
    <r>
      <t xml:space="preserve">6.05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0.05</t>
    </r>
  </si>
  <si>
    <r>
      <t xml:space="preserve">5.50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0.04</t>
    </r>
  </si>
  <si>
    <r>
      <rPr>
        <sz val="11"/>
        <color theme="1"/>
        <rFont val="Aptos Narrow"/>
        <family val="2"/>
      </rPr>
      <t>5.50 ±</t>
    </r>
    <r>
      <rPr>
        <sz val="11"/>
        <color theme="1"/>
        <rFont val="Calibri"/>
        <family val="2"/>
      </rPr>
      <t xml:space="preserve"> 0.04</t>
    </r>
  </si>
  <si>
    <t>(4.0, 8.2, 15.9)</t>
  </si>
  <si>
    <t>Soil water concent (%) [g_water / g_dry]</t>
  </si>
  <si>
    <t>(4.0, 8.5, 12.9)</t>
  </si>
  <si>
    <t>PU</t>
  </si>
  <si>
    <t>FH2SO4</t>
  </si>
  <si>
    <t>STD</t>
  </si>
  <si>
    <t>PH2SO4</t>
  </si>
  <si>
    <t>PAA</t>
  </si>
  <si>
    <t>FAA</t>
  </si>
  <si>
    <t>FU</t>
  </si>
  <si>
    <t>Cattle Lab</t>
  </si>
  <si>
    <t>Treatment</t>
  </si>
  <si>
    <t>Valve</t>
  </si>
  <si>
    <t>Emission (%)</t>
  </si>
  <si>
    <t>P</t>
  </si>
  <si>
    <t>F</t>
  </si>
  <si>
    <t>Rel diff(%)</t>
  </si>
  <si>
    <t>Rel diff mean (%)</t>
  </si>
  <si>
    <t>Mean ref (%)</t>
  </si>
  <si>
    <t>Rel diff stdev (%)</t>
  </si>
  <si>
    <t>Mean stdev (%)</t>
  </si>
  <si>
    <t>Pig Lab</t>
  </si>
  <si>
    <t>Cattle Field</t>
  </si>
  <si>
    <t>Pig Field</t>
  </si>
  <si>
    <t>AA</t>
  </si>
  <si>
    <t>H2SO4</t>
  </si>
  <si>
    <t>OSI</t>
  </si>
  <si>
    <t>RAW</t>
  </si>
  <si>
    <t>TH</t>
  </si>
  <si>
    <t>Field</t>
  </si>
  <si>
    <r>
      <t xml:space="preserve">35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10</t>
    </r>
  </si>
  <si>
    <t>36  ±  12</t>
  </si>
  <si>
    <r>
      <t xml:space="preserve">40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13</t>
    </r>
  </si>
  <si>
    <r>
      <t xml:space="preserve">43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15</t>
    </r>
  </si>
  <si>
    <r>
      <t xml:space="preserve">55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  <scheme val="minor"/>
      </rPr>
      <t xml:space="preserve"> 25</t>
    </r>
  </si>
  <si>
    <r>
      <t xml:space="preserve">55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21</t>
    </r>
  </si>
  <si>
    <r>
      <t xml:space="preserve">3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33</t>
    </r>
  </si>
  <si>
    <r>
      <t xml:space="preserve">50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8</t>
    </r>
  </si>
  <si>
    <r>
      <t xml:space="preserve">91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15</t>
    </r>
  </si>
  <si>
    <r>
      <t xml:space="preserve">102 </t>
    </r>
    <r>
      <rPr>
        <sz val="11"/>
        <color theme="1"/>
        <rFont val="Aptos Narrow"/>
        <family val="2"/>
      </rPr>
      <t>± 12</t>
    </r>
  </si>
  <si>
    <r>
      <t xml:space="preserve">53 </t>
    </r>
    <r>
      <rPr>
        <sz val="11"/>
        <color theme="1"/>
        <rFont val="Aptos Narrow"/>
        <family val="2"/>
      </rPr>
      <t xml:space="preserve">± </t>
    </r>
    <r>
      <rPr>
        <sz val="11"/>
        <color theme="1"/>
        <rFont val="Calibri"/>
        <family val="2"/>
      </rPr>
      <t>54</t>
    </r>
  </si>
  <si>
    <r>
      <t xml:space="preserve">143 </t>
    </r>
    <r>
      <rPr>
        <sz val="11"/>
        <color theme="1"/>
        <rFont val="Aptos Narrow"/>
        <family val="2"/>
      </rPr>
      <t>± 31</t>
    </r>
  </si>
  <si>
    <t>Dist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</si>
</sst>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2" fontId="0" fillId="0" borderId="0" xfId="0" applyNumberFormat="1"/>
    <xf numFmtId="0" fontId="0" fillId="2" borderId="0" xfId="0" applyFill="1"/>
    <xf numFmtId="0" fontId="0" fillId="2" borderId="2" xfId="0" applyFill="1" applyBorder="1"/>
    <xf numFmtId="164" fontId="0" fillId="0" borderId="2" xfId="0" applyNumberFormat="1" applyBorder="1"/>
    <xf numFmtId="0" fontId="2" fillId="0" borderId="2" xfId="0" applyFont="1" applyBorder="1"/>
    <xf numFmtId="0" fontId="1" fillId="0" borderId="3" xfId="0" applyFont="1" applyBorder="1" applyAlignment="1">
      <alignment wrapText="1"/>
    </xf>
    <xf numFmtId="1" fontId="0" fillId="0" borderId="0" xfId="0" applyNumberFormat="1"/>
    <xf numFmtId="0" fontId="0" fillId="0" borderId="2" xfId="0" applyBorder="1" applyAlignment="1">
      <alignment wrapText="1"/>
    </xf>
    <xf numFmtId="49" fontId="0" fillId="0" borderId="2" xfId="0" applyNumberFormat="1" applyBorder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9CAA769B-D422-4832-9C1A-A3C538E3D021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3-18T12:58:23.58" personId="{9CAA769B-D422-4832-9C1A-A3C538E3D021}" id="{54E47DF3-936A-4570-A3E8-C4A3A967DF3F}">
    <text>Untreated used as reference</text>
  </threadedComment>
  <threadedComment ref="I10" dT="2026-03-18T10:19:39.48" personId="{9CAA769B-D422-4832-9C1A-A3C538E3D021}" id="{225D5059-791A-4C15-9099-7D393F713A94}">
    <text>Indoor temperaure assumed constant</text>
  </threadedComment>
  <threadedComment ref="K13" dT="2026-03-18T09:58:59.68" personId="{9CAA769B-D422-4832-9C1A-A3C538E3D021}" id="{2BF997EB-A755-42EF-9495-7D3D08B940D5}">
    <text>Not meassured but assumed stable</text>
  </threadedComment>
  <threadedComment ref="G16" dT="2026-03-18T09:37:17.43" personId="{9CAA769B-D422-4832-9C1A-A3C538E3D021}" id="{3F032B94-2F71-4731-A5D2-2E3158A4C99C}">
    <text>Mean of dublicates</text>
  </threadedComment>
  <threadedComment ref="J17" dT="2026-03-18T09:24:41.76" personId="{9CAA769B-D422-4832-9C1A-A3C538E3D021}" id="{6868C9D6-1E87-4208-BF2F-68E1524E142C}">
    <text>Mean of dublicates</text>
  </threadedComment>
  <threadedComment ref="K17" dT="2026-03-18T09:26:25.57" personId="{9CAA769B-D422-4832-9C1A-A3C538E3D021}" id="{4DC9F580-D8E6-410C-B7EC-2FEB8035CB3D}">
    <text>Mean of dublicates</text>
  </threadedComment>
  <threadedComment ref="J20" dT="2026-03-18T10:42:39.69" personId="{9CAA769B-D422-4832-9C1A-A3C538E3D021}" id="{47419ECF-0875-4CC3-9AA0-5F57554FE076}">
    <text>Mean of dublicates</text>
  </threadedComment>
  <threadedComment ref="K20" dT="2026-03-18T10:42:14.88" personId="{9CAA769B-D422-4832-9C1A-A3C538E3D021}" id="{44062C99-A335-499A-B146-DFAA7C3A67FE}">
    <text>Mean of dublicates</text>
  </threadedComment>
  <threadedComment ref="F23" dT="2026-03-18T09:35:14.14" personId="{9CAA769B-D422-4832-9C1A-A3C538E3D021}" id="{3BA6B266-12A9-4787-B802-A5E7AD8E7BC8}">
    <text>Not meassured, but fairly stable in previous experiments</text>
  </threadedComment>
  <threadedComment ref="G23" dT="2026-03-18T10:16:22.77" personId="{9CAA769B-D422-4832-9C1A-A3C538E3D021}" id="{8C06EF5B-7939-4F05-8EDF-4D0EEF8A9B63}">
    <text>Mean of dublicates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A2" workbookViewId="0">
      <selection activeCell="E12" sqref="E12"/>
    </sheetView>
  </sheetViews>
  <sheetFormatPr defaultRowHeight="14.4" x14ac:dyDescent="0.3"/>
  <cols>
    <col min="1" max="1" width="31.88671875" bestFit="1" customWidth="1"/>
    <col min="2" max="2" width="17.77734375" customWidth="1"/>
    <col min="3" max="3" width="13.44140625" customWidth="1"/>
    <col min="4" max="4" width="11.109375" customWidth="1"/>
    <col min="5" max="5" width="17.6640625" customWidth="1"/>
    <col min="6" max="6" width="11.109375" customWidth="1"/>
    <col min="7" max="7" width="11" bestFit="1" customWidth="1"/>
    <col min="8" max="8" width="10" bestFit="1" customWidth="1"/>
    <col min="9" max="9" width="18.44140625" bestFit="1" customWidth="1"/>
    <col min="10" max="10" width="20" customWidth="1"/>
    <col min="11" max="11" width="10" bestFit="1" customWidth="1"/>
  </cols>
  <sheetData>
    <row r="1" spans="1:11" ht="58.2" thickBot="1" x14ac:dyDescent="0.35">
      <c r="A1" s="12" t="s">
        <v>0</v>
      </c>
      <c r="B1" s="12" t="s">
        <v>23</v>
      </c>
      <c r="C1" s="12" t="s">
        <v>21</v>
      </c>
      <c r="D1" s="12" t="s">
        <v>22</v>
      </c>
      <c r="E1" s="12" t="s">
        <v>93</v>
      </c>
      <c r="F1" s="12" t="s">
        <v>49</v>
      </c>
      <c r="G1" s="12" t="s">
        <v>50</v>
      </c>
      <c r="H1" s="12" t="s">
        <v>51</v>
      </c>
      <c r="I1" s="12" t="s">
        <v>80</v>
      </c>
      <c r="J1" s="12" t="s">
        <v>99</v>
      </c>
      <c r="K1" s="12" t="s">
        <v>55</v>
      </c>
    </row>
    <row r="2" spans="1:11" x14ac:dyDescent="0.3">
      <c r="A2" t="s">
        <v>1</v>
      </c>
      <c r="B2" t="s">
        <v>24</v>
      </c>
      <c r="C2" t="s">
        <v>26</v>
      </c>
      <c r="D2">
        <v>19.5</v>
      </c>
      <c r="E2" t="s">
        <v>128</v>
      </c>
      <c r="F2">
        <v>6.26</v>
      </c>
      <c r="G2" t="s">
        <v>81</v>
      </c>
      <c r="H2" t="s">
        <v>89</v>
      </c>
      <c r="I2" t="s">
        <v>100</v>
      </c>
      <c r="J2" t="s">
        <v>67</v>
      </c>
      <c r="K2" t="s">
        <v>66</v>
      </c>
    </row>
    <row r="3" spans="1:11" x14ac:dyDescent="0.3">
      <c r="A3" t="s">
        <v>2</v>
      </c>
      <c r="B3" t="s">
        <v>24</v>
      </c>
      <c r="C3" t="s">
        <v>27</v>
      </c>
      <c r="D3">
        <v>24.1</v>
      </c>
      <c r="E3" t="s">
        <v>129</v>
      </c>
      <c r="F3">
        <v>6.91</v>
      </c>
      <c r="G3" t="s">
        <v>83</v>
      </c>
      <c r="H3" t="s">
        <v>90</v>
      </c>
      <c r="I3" t="s">
        <v>100</v>
      </c>
      <c r="J3" t="s">
        <v>67</v>
      </c>
      <c r="K3" t="s">
        <v>66</v>
      </c>
    </row>
    <row r="4" spans="1:11" x14ac:dyDescent="0.3">
      <c r="A4" s="2" t="s">
        <v>3</v>
      </c>
      <c r="B4" s="2" t="s">
        <v>24</v>
      </c>
      <c r="C4" s="2" t="s">
        <v>28</v>
      </c>
      <c r="D4" s="2">
        <v>5.6</v>
      </c>
      <c r="E4" s="2">
        <v>0</v>
      </c>
      <c r="F4" s="2">
        <v>6.25</v>
      </c>
      <c r="G4" s="2" t="s">
        <v>82</v>
      </c>
      <c r="H4" s="2" t="s">
        <v>91</v>
      </c>
      <c r="I4" s="2" t="s">
        <v>100</v>
      </c>
      <c r="J4" s="2" t="s">
        <v>68</v>
      </c>
      <c r="K4" s="2" t="s">
        <v>66</v>
      </c>
    </row>
    <row r="5" spans="1:11" x14ac:dyDescent="0.3">
      <c r="A5" t="s">
        <v>4</v>
      </c>
      <c r="B5" s="3" t="s">
        <v>35</v>
      </c>
      <c r="C5" t="s">
        <v>36</v>
      </c>
      <c r="D5">
        <v>27.3</v>
      </c>
      <c r="E5" t="s">
        <v>130</v>
      </c>
      <c r="F5">
        <v>6.02</v>
      </c>
      <c r="G5" t="s">
        <v>84</v>
      </c>
      <c r="H5" t="s">
        <v>92</v>
      </c>
      <c r="I5" t="s">
        <v>98</v>
      </c>
      <c r="J5" t="s">
        <v>69</v>
      </c>
      <c r="K5" t="s">
        <v>65</v>
      </c>
    </row>
    <row r="6" spans="1:11" x14ac:dyDescent="0.3">
      <c r="A6" t="s">
        <v>5</v>
      </c>
      <c r="B6" s="3" t="s">
        <v>35</v>
      </c>
      <c r="C6" t="s">
        <v>37</v>
      </c>
      <c r="D6" s="5">
        <v>33</v>
      </c>
      <c r="E6" t="s">
        <v>131</v>
      </c>
      <c r="F6">
        <v>5.96</v>
      </c>
      <c r="G6" t="s">
        <v>87</v>
      </c>
      <c r="H6" t="s">
        <v>95</v>
      </c>
      <c r="I6" t="s">
        <v>98</v>
      </c>
      <c r="J6" t="s">
        <v>70</v>
      </c>
      <c r="K6" t="s">
        <v>65</v>
      </c>
    </row>
    <row r="7" spans="1:11" x14ac:dyDescent="0.3">
      <c r="A7" t="s">
        <v>6</v>
      </c>
      <c r="B7" s="3" t="s">
        <v>35</v>
      </c>
      <c r="C7" t="s">
        <v>39</v>
      </c>
      <c r="D7">
        <v>35.200000000000003</v>
      </c>
      <c r="E7">
        <v>0</v>
      </c>
      <c r="F7">
        <v>6.51</v>
      </c>
      <c r="G7" t="s">
        <v>86</v>
      </c>
      <c r="H7" t="s">
        <v>94</v>
      </c>
      <c r="I7" t="s">
        <v>98</v>
      </c>
      <c r="J7" t="s">
        <v>70</v>
      </c>
      <c r="K7" t="s">
        <v>65</v>
      </c>
    </row>
    <row r="8" spans="1:11" x14ac:dyDescent="0.3">
      <c r="A8" t="s">
        <v>7</v>
      </c>
      <c r="B8" s="3" t="s">
        <v>35</v>
      </c>
      <c r="C8" t="s">
        <v>38</v>
      </c>
      <c r="D8">
        <v>30.5</v>
      </c>
      <c r="E8" s="8"/>
      <c r="F8">
        <v>6.83</v>
      </c>
      <c r="G8" t="s">
        <v>88</v>
      </c>
      <c r="H8" t="s">
        <v>96</v>
      </c>
      <c r="I8" t="s">
        <v>98</v>
      </c>
      <c r="J8" t="s">
        <v>71</v>
      </c>
      <c r="K8" t="s">
        <v>65</v>
      </c>
    </row>
    <row r="9" spans="1:11" x14ac:dyDescent="0.3">
      <c r="A9" s="2" t="s">
        <v>8</v>
      </c>
      <c r="B9" s="14" t="s">
        <v>35</v>
      </c>
      <c r="C9" s="15" t="s">
        <v>42</v>
      </c>
      <c r="D9" s="2">
        <v>-5350.6</v>
      </c>
      <c r="E9" s="9"/>
      <c r="F9" s="2">
        <v>6.83</v>
      </c>
      <c r="G9" s="2" t="s">
        <v>88</v>
      </c>
      <c r="H9" s="11" t="s">
        <v>97</v>
      </c>
      <c r="I9" s="2" t="s">
        <v>98</v>
      </c>
      <c r="J9" s="2" t="s">
        <v>72</v>
      </c>
      <c r="K9" s="2" t="s">
        <v>65</v>
      </c>
    </row>
    <row r="10" spans="1:11" x14ac:dyDescent="0.3">
      <c r="A10" t="s">
        <v>9</v>
      </c>
      <c r="B10" t="s">
        <v>25</v>
      </c>
      <c r="C10" s="13" t="s">
        <v>29</v>
      </c>
      <c r="D10">
        <v>56.6</v>
      </c>
      <c r="E10" t="s">
        <v>132</v>
      </c>
      <c r="F10">
        <v>6.39</v>
      </c>
      <c r="G10" t="s">
        <v>56</v>
      </c>
      <c r="H10" t="s">
        <v>63</v>
      </c>
      <c r="I10" s="5">
        <v>22</v>
      </c>
      <c r="J10" t="s">
        <v>74</v>
      </c>
      <c r="K10" s="7">
        <v>6.01</v>
      </c>
    </row>
    <row r="11" spans="1:11" x14ac:dyDescent="0.3">
      <c r="A11" t="s">
        <v>10</v>
      </c>
      <c r="B11" t="s">
        <v>25</v>
      </c>
      <c r="C11" t="s">
        <v>30</v>
      </c>
      <c r="D11">
        <v>67.599999999999994</v>
      </c>
      <c r="E11" t="s">
        <v>133</v>
      </c>
      <c r="F11">
        <v>6.42</v>
      </c>
      <c r="G11" t="s">
        <v>60</v>
      </c>
      <c r="H11" t="s">
        <v>64</v>
      </c>
      <c r="I11" s="5">
        <v>22</v>
      </c>
      <c r="J11" t="s">
        <v>74</v>
      </c>
      <c r="K11">
        <v>6.01</v>
      </c>
    </row>
    <row r="12" spans="1:11" x14ac:dyDescent="0.3">
      <c r="A12" t="s">
        <v>11</v>
      </c>
      <c r="B12" t="s">
        <v>25</v>
      </c>
      <c r="C12" t="s">
        <v>31</v>
      </c>
      <c r="D12">
        <v>40.1</v>
      </c>
      <c r="E12">
        <v>0</v>
      </c>
      <c r="F12">
        <v>7.04</v>
      </c>
      <c r="G12" t="s">
        <v>61</v>
      </c>
      <c r="H12" t="s">
        <v>62</v>
      </c>
      <c r="I12" s="5">
        <v>22</v>
      </c>
      <c r="J12" t="s">
        <v>75</v>
      </c>
      <c r="K12">
        <v>6.01</v>
      </c>
    </row>
    <row r="13" spans="1:11" x14ac:dyDescent="0.3">
      <c r="A13" t="s">
        <v>12</v>
      </c>
      <c r="B13" t="s">
        <v>25</v>
      </c>
      <c r="C13" t="s">
        <v>32</v>
      </c>
      <c r="D13">
        <v>19.899999999999999</v>
      </c>
      <c r="E13" t="s">
        <v>135</v>
      </c>
      <c r="F13">
        <v>6.39</v>
      </c>
      <c r="G13" t="s">
        <v>56</v>
      </c>
      <c r="H13" t="s">
        <v>63</v>
      </c>
      <c r="I13" s="5">
        <v>22</v>
      </c>
      <c r="J13" t="s">
        <v>73</v>
      </c>
      <c r="K13" t="s">
        <v>65</v>
      </c>
    </row>
    <row r="14" spans="1:11" x14ac:dyDescent="0.3">
      <c r="A14" t="s">
        <v>13</v>
      </c>
      <c r="B14" t="s">
        <v>25</v>
      </c>
      <c r="C14" t="s">
        <v>33</v>
      </c>
      <c r="D14">
        <v>42.2</v>
      </c>
      <c r="E14" t="s">
        <v>134</v>
      </c>
      <c r="F14">
        <v>6.42</v>
      </c>
      <c r="G14" t="s">
        <v>60</v>
      </c>
      <c r="H14" t="s">
        <v>64</v>
      </c>
      <c r="I14" s="5">
        <v>22</v>
      </c>
      <c r="J14" t="s">
        <v>73</v>
      </c>
      <c r="K14" t="s">
        <v>65</v>
      </c>
    </row>
    <row r="15" spans="1:11" x14ac:dyDescent="0.3">
      <c r="A15" t="s">
        <v>14</v>
      </c>
      <c r="B15" t="s">
        <v>25</v>
      </c>
      <c r="C15" t="s">
        <v>34</v>
      </c>
      <c r="D15">
        <v>125.8</v>
      </c>
      <c r="E15">
        <v>0</v>
      </c>
      <c r="F15">
        <v>7.04</v>
      </c>
      <c r="G15" t="s">
        <v>61</v>
      </c>
      <c r="H15" t="s">
        <v>62</v>
      </c>
      <c r="I15" s="5">
        <v>22</v>
      </c>
      <c r="J15" t="s">
        <v>73</v>
      </c>
      <c r="K15" t="s">
        <v>65</v>
      </c>
    </row>
    <row r="16" spans="1:11" x14ac:dyDescent="0.3">
      <c r="A16" t="s">
        <v>57</v>
      </c>
      <c r="B16" t="s">
        <v>25</v>
      </c>
      <c r="C16" t="s">
        <v>59</v>
      </c>
      <c r="D16">
        <v>45.5</v>
      </c>
      <c r="E16" s="8"/>
      <c r="F16">
        <v>8.5</v>
      </c>
      <c r="G16" s="2">
        <v>3.15</v>
      </c>
      <c r="H16" s="9"/>
      <c r="I16" s="10">
        <v>22</v>
      </c>
      <c r="J16" s="2" t="s">
        <v>73</v>
      </c>
      <c r="K16" s="2" t="s">
        <v>65</v>
      </c>
    </row>
    <row r="17" spans="1:11" x14ac:dyDescent="0.3">
      <c r="A17" s="1" t="s">
        <v>16</v>
      </c>
      <c r="B17" s="1" t="s">
        <v>40</v>
      </c>
      <c r="C17" s="1" t="s">
        <v>43</v>
      </c>
      <c r="D17" s="6">
        <v>205</v>
      </c>
      <c r="E17" s="1" t="s">
        <v>136</v>
      </c>
      <c r="F17" s="1">
        <v>6.11</v>
      </c>
      <c r="G17" t="s">
        <v>76</v>
      </c>
      <c r="H17" t="s">
        <v>54</v>
      </c>
      <c r="I17" s="5">
        <v>22</v>
      </c>
      <c r="J17" s="5">
        <v>15</v>
      </c>
      <c r="K17" s="7">
        <v>6</v>
      </c>
    </row>
    <row r="18" spans="1:11" x14ac:dyDescent="0.3">
      <c r="A18" t="s">
        <v>15</v>
      </c>
      <c r="B18" t="s">
        <v>41</v>
      </c>
      <c r="C18" s="4" t="s">
        <v>44</v>
      </c>
      <c r="D18" s="5">
        <v>-808</v>
      </c>
      <c r="E18" t="s">
        <v>137</v>
      </c>
      <c r="F18">
        <v>6.12</v>
      </c>
      <c r="G18" t="s">
        <v>77</v>
      </c>
      <c r="H18" t="s">
        <v>53</v>
      </c>
      <c r="I18" s="5">
        <v>22</v>
      </c>
      <c r="J18" s="5">
        <v>15</v>
      </c>
      <c r="K18" s="7">
        <v>6</v>
      </c>
    </row>
    <row r="19" spans="1:11" x14ac:dyDescent="0.3">
      <c r="A19" t="s">
        <v>17</v>
      </c>
      <c r="B19" t="s">
        <v>41</v>
      </c>
      <c r="C19" t="s">
        <v>45</v>
      </c>
      <c r="D19">
        <v>67.8</v>
      </c>
      <c r="E19">
        <v>0</v>
      </c>
      <c r="F19">
        <v>7.03</v>
      </c>
      <c r="G19" t="s">
        <v>85</v>
      </c>
      <c r="H19" t="s">
        <v>52</v>
      </c>
      <c r="I19" s="5">
        <v>22</v>
      </c>
      <c r="J19" s="5">
        <v>15</v>
      </c>
      <c r="K19" s="7">
        <v>6</v>
      </c>
    </row>
    <row r="20" spans="1:11" x14ac:dyDescent="0.3">
      <c r="A20" t="s">
        <v>18</v>
      </c>
      <c r="B20" t="s">
        <v>41</v>
      </c>
      <c r="C20" t="s">
        <v>46</v>
      </c>
      <c r="D20">
        <v>144.6</v>
      </c>
      <c r="E20" t="s">
        <v>138</v>
      </c>
      <c r="F20">
        <v>6.11</v>
      </c>
      <c r="G20" t="s">
        <v>78</v>
      </c>
      <c r="H20" t="s">
        <v>54</v>
      </c>
      <c r="I20" s="5">
        <v>22</v>
      </c>
      <c r="J20" s="5">
        <v>7</v>
      </c>
      <c r="K20">
        <v>5.33</v>
      </c>
    </row>
    <row r="21" spans="1:11" x14ac:dyDescent="0.3">
      <c r="A21" t="s">
        <v>19</v>
      </c>
      <c r="B21" t="s">
        <v>41</v>
      </c>
      <c r="C21" s="4" t="s">
        <v>47</v>
      </c>
      <c r="D21">
        <v>-87.9</v>
      </c>
      <c r="E21" t="s">
        <v>139</v>
      </c>
      <c r="F21">
        <v>6.12</v>
      </c>
      <c r="G21" t="s">
        <v>77</v>
      </c>
      <c r="H21" t="s">
        <v>53</v>
      </c>
      <c r="I21" s="5">
        <v>22</v>
      </c>
      <c r="J21" s="5">
        <v>7</v>
      </c>
      <c r="K21">
        <v>5.33</v>
      </c>
    </row>
    <row r="22" spans="1:11" x14ac:dyDescent="0.3">
      <c r="A22" t="s">
        <v>20</v>
      </c>
      <c r="B22" t="s">
        <v>41</v>
      </c>
      <c r="C22" t="s">
        <v>48</v>
      </c>
      <c r="D22" s="5">
        <v>70</v>
      </c>
      <c r="E22">
        <v>0</v>
      </c>
      <c r="F22">
        <v>7.03</v>
      </c>
      <c r="G22" t="s">
        <v>79</v>
      </c>
      <c r="H22" t="s">
        <v>52</v>
      </c>
      <c r="I22" s="5">
        <v>22</v>
      </c>
      <c r="J22" s="5">
        <v>7</v>
      </c>
      <c r="K22">
        <v>5.33</v>
      </c>
    </row>
    <row r="23" spans="1:11" x14ac:dyDescent="0.3">
      <c r="A23" s="2" t="s">
        <v>57</v>
      </c>
      <c r="B23" s="2" t="s">
        <v>41</v>
      </c>
      <c r="C23" s="2" t="s">
        <v>58</v>
      </c>
      <c r="D23" s="2">
        <v>30.1</v>
      </c>
      <c r="E23" s="9"/>
      <c r="F23" s="2" t="s">
        <v>65</v>
      </c>
      <c r="G23" s="2">
        <v>3.55</v>
      </c>
      <c r="H23" s="9"/>
      <c r="I23" s="10">
        <v>22</v>
      </c>
      <c r="J23" s="10">
        <v>7</v>
      </c>
      <c r="K23" s="2">
        <v>5.33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C990-4662-4014-9CA6-95FBB0F911AB}">
  <dimension ref="A1:AQ22"/>
  <sheetViews>
    <sheetView tabSelected="1" topLeftCell="I2" workbookViewId="0">
      <selection activeCell="O10" sqref="O10"/>
    </sheetView>
  </sheetViews>
  <sheetFormatPr defaultRowHeight="14.4" x14ac:dyDescent="0.3"/>
  <cols>
    <col min="1" max="1" width="9.33203125" bestFit="1" customWidth="1"/>
    <col min="2" max="2" width="5.44140625" bestFit="1" customWidth="1"/>
    <col min="3" max="3" width="8.109375" bestFit="1" customWidth="1"/>
    <col min="5" max="5" width="11.109375" customWidth="1"/>
    <col min="6" max="6" width="10" customWidth="1"/>
    <col min="8" max="8" width="10" customWidth="1"/>
    <col min="14" max="14" width="8.109375" bestFit="1" customWidth="1"/>
    <col min="18" max="18" width="15.6640625" bestFit="1" customWidth="1"/>
    <col min="19" max="19" width="10" customWidth="1"/>
    <col min="23" max="23" width="10.21875" bestFit="1" customWidth="1"/>
    <col min="30" max="30" width="9.88671875" customWidth="1"/>
    <col min="34" max="34" width="10.21875" bestFit="1" customWidth="1"/>
  </cols>
  <sheetData>
    <row r="1" spans="1:43" x14ac:dyDescent="0.3">
      <c r="A1" s="16" t="s">
        <v>108</v>
      </c>
      <c r="L1" s="16" t="s">
        <v>119</v>
      </c>
      <c r="W1" s="16" t="s">
        <v>121</v>
      </c>
      <c r="AH1" s="16" t="s">
        <v>120</v>
      </c>
    </row>
    <row r="2" spans="1:43" ht="28.8" x14ac:dyDescent="0.3">
      <c r="A2" s="18" t="s">
        <v>109</v>
      </c>
      <c r="B2" s="18" t="s">
        <v>110</v>
      </c>
      <c r="C2" s="18" t="s">
        <v>111</v>
      </c>
      <c r="D2" s="18" t="s">
        <v>114</v>
      </c>
      <c r="E2" s="18" t="s">
        <v>115</v>
      </c>
      <c r="F2" s="18" t="s">
        <v>117</v>
      </c>
      <c r="G2" s="18" t="s">
        <v>140</v>
      </c>
      <c r="H2" s="18" t="s">
        <v>109</v>
      </c>
      <c r="I2" s="18" t="s">
        <v>116</v>
      </c>
      <c r="J2" s="18" t="s">
        <v>118</v>
      </c>
      <c r="L2" s="18" t="s">
        <v>109</v>
      </c>
      <c r="M2" s="18" t="s">
        <v>110</v>
      </c>
      <c r="N2" s="18" t="s">
        <v>111</v>
      </c>
      <c r="O2" s="18" t="s">
        <v>114</v>
      </c>
      <c r="P2" s="18" t="s">
        <v>115</v>
      </c>
      <c r="Q2" s="18" t="s">
        <v>117</v>
      </c>
      <c r="R2" s="18" t="s">
        <v>140</v>
      </c>
      <c r="S2" s="18" t="s">
        <v>109</v>
      </c>
      <c r="T2" s="18" t="s">
        <v>116</v>
      </c>
      <c r="U2" s="18" t="s">
        <v>118</v>
      </c>
      <c r="W2" s="18" t="s">
        <v>109</v>
      </c>
      <c r="X2" s="18" t="s">
        <v>110</v>
      </c>
      <c r="Y2" s="18" t="s">
        <v>111</v>
      </c>
      <c r="Z2" s="18" t="s">
        <v>114</v>
      </c>
      <c r="AA2" s="18" t="s">
        <v>115</v>
      </c>
      <c r="AB2" s="18" t="s">
        <v>117</v>
      </c>
      <c r="AD2" s="18" t="s">
        <v>109</v>
      </c>
      <c r="AE2" s="18" t="s">
        <v>116</v>
      </c>
      <c r="AF2" s="18" t="s">
        <v>118</v>
      </c>
      <c r="AH2" s="18" t="s">
        <v>109</v>
      </c>
      <c r="AI2" s="18" t="s">
        <v>110</v>
      </c>
      <c r="AJ2" s="18" t="s">
        <v>111</v>
      </c>
      <c r="AK2" s="18" t="s">
        <v>114</v>
      </c>
      <c r="AL2" s="18" t="s">
        <v>115</v>
      </c>
      <c r="AM2" s="18" t="s">
        <v>117</v>
      </c>
      <c r="AO2" s="18" t="s">
        <v>109</v>
      </c>
      <c r="AP2" s="18" t="s">
        <v>116</v>
      </c>
      <c r="AQ2" s="18" t="s">
        <v>118</v>
      </c>
    </row>
    <row r="3" spans="1:43" x14ac:dyDescent="0.3">
      <c r="A3" s="17" t="s">
        <v>101</v>
      </c>
      <c r="B3" s="17">
        <v>1</v>
      </c>
      <c r="C3" s="17">
        <v>-2.3E-2</v>
      </c>
      <c r="D3" s="8"/>
      <c r="G3" s="13">
        <f>E6-E14</f>
        <v>5.5864153283360451</v>
      </c>
      <c r="H3" t="s">
        <v>113</v>
      </c>
      <c r="I3" s="7">
        <f>AVERAGE(C20:C22)</f>
        <v>19.837666666666667</v>
      </c>
      <c r="J3" s="7">
        <f>_xlfn.STDEV.P(C20:C22)</f>
        <v>6.4931439397430681</v>
      </c>
      <c r="L3" s="17" t="s">
        <v>106</v>
      </c>
      <c r="M3" s="17">
        <v>7</v>
      </c>
      <c r="N3" s="17">
        <v>0.17100000000000001</v>
      </c>
      <c r="O3" s="7">
        <f>(1-N3/$T$3)*100</f>
        <v>96.285569473607993</v>
      </c>
      <c r="P3" s="7">
        <f>AVERAGE(O3:O5)</f>
        <v>91.289551806531037</v>
      </c>
      <c r="Q3" s="7">
        <f>_xlfn.STDEV.P(O3:O5)</f>
        <v>14.587392197355362</v>
      </c>
      <c r="R3" s="7">
        <f>P9-P3</f>
        <v>10.697994352327839</v>
      </c>
      <c r="S3" t="s">
        <v>113</v>
      </c>
      <c r="T3" s="7">
        <f>AVERAGE(N6:N8)</f>
        <v>4.6036666666666664</v>
      </c>
      <c r="U3" s="7">
        <f>_xlfn.STDEV.P(N6:N8)</f>
        <v>2.548688726035846</v>
      </c>
      <c r="W3" s="17" t="s">
        <v>122</v>
      </c>
      <c r="X3" s="17">
        <v>11</v>
      </c>
      <c r="Y3" s="17">
        <v>3.0710000000000002</v>
      </c>
      <c r="Z3" s="7">
        <f>(1-Y3/$AE$3)*100</f>
        <v>33.12767656238659</v>
      </c>
      <c r="AD3" t="s">
        <v>127</v>
      </c>
      <c r="AE3" s="7">
        <f>AVERAGE(Y12:Y14)</f>
        <v>4.5923333333333334</v>
      </c>
      <c r="AF3" s="7">
        <f>_xlfn.STDEV.P(Y12:Y14)</f>
        <v>1.3198298711913174</v>
      </c>
      <c r="AH3" s="17" t="s">
        <v>122</v>
      </c>
      <c r="AI3" s="17">
        <v>4</v>
      </c>
      <c r="AJ3" s="17">
        <v>10.613</v>
      </c>
      <c r="AK3" s="7">
        <f>(1-AJ3/$AP$3)*100</f>
        <v>32.970526315789485</v>
      </c>
      <c r="AL3" s="7">
        <f>AVERAGE(AK3:AK5)</f>
        <v>35.642105263157895</v>
      </c>
      <c r="AM3" s="7">
        <f>_xlfn.STDEV.P(AK3:AK5)</f>
        <v>10.249443792759767</v>
      </c>
      <c r="AO3" t="s">
        <v>127</v>
      </c>
      <c r="AP3" s="7">
        <f>AVERAGE(AJ9:AJ11)</f>
        <v>15.833333333333334</v>
      </c>
      <c r="AQ3" s="7">
        <f>_xlfn.STDEV.P(AJ9:AJ11)</f>
        <v>0.72146717797061954</v>
      </c>
    </row>
    <row r="4" spans="1:43" x14ac:dyDescent="0.3">
      <c r="A4" s="17" t="s">
        <v>101</v>
      </c>
      <c r="B4" s="17">
        <v>9</v>
      </c>
      <c r="C4" s="17">
        <v>4.8170000000000002</v>
      </c>
      <c r="D4" s="8"/>
      <c r="G4" s="13">
        <f>E14-E11</f>
        <v>46.359839488985344</v>
      </c>
      <c r="H4" t="s">
        <v>112</v>
      </c>
      <c r="I4" s="7">
        <f>AVERAGE(C3:C5)</f>
        <v>8.1406666666666663</v>
      </c>
      <c r="J4" s="7">
        <f>_xlfn.STDEV.P(C3:C5)</f>
        <v>8.3596459388075885</v>
      </c>
      <c r="L4" s="17"/>
      <c r="M4" s="17">
        <v>9</v>
      </c>
      <c r="N4" s="17">
        <v>-0.28199999999999997</v>
      </c>
      <c r="O4" s="7">
        <f t="shared" ref="O4:O5" si="0">(1-N4/$T$3)*100</f>
        <v>106.12555209615525</v>
      </c>
      <c r="R4" s="7">
        <f>P15-P12</f>
        <v>88.995373430271002</v>
      </c>
      <c r="S4" t="s">
        <v>112</v>
      </c>
      <c r="T4" s="7">
        <f>AVERAGE(N18:N20)</f>
        <v>1.0086666666666666</v>
      </c>
      <c r="U4" s="7">
        <f>_xlfn.STDEV.P(N18:N20)</f>
        <v>0.57641208253201026</v>
      </c>
      <c r="W4" s="17"/>
      <c r="X4" s="17">
        <v>12</v>
      </c>
      <c r="Y4" s="17">
        <v>3.2719999999999998</v>
      </c>
      <c r="Z4" s="7">
        <f t="shared" ref="Z4:Z8" si="1">(1-Y4/$AE$3)*100</f>
        <v>28.750816578355231</v>
      </c>
      <c r="AH4" s="17"/>
      <c r="AI4" s="17">
        <v>14</v>
      </c>
      <c r="AJ4" s="17">
        <v>11.932</v>
      </c>
      <c r="AK4">
        <f t="shared" ref="AK4:AK8" si="2">(1-AJ4/$AP$3)*100</f>
        <v>24.639999999999993</v>
      </c>
    </row>
    <row r="5" spans="1:43" x14ac:dyDescent="0.3">
      <c r="A5" s="17" t="s">
        <v>101</v>
      </c>
      <c r="B5" s="17">
        <v>24</v>
      </c>
      <c r="C5" s="17">
        <v>19.628</v>
      </c>
      <c r="D5" s="8"/>
      <c r="L5" s="17"/>
      <c r="M5" s="17">
        <v>21</v>
      </c>
      <c r="N5" s="17">
        <v>1.3140000000000001</v>
      </c>
      <c r="O5" s="7">
        <f t="shared" si="0"/>
        <v>71.457533849829844</v>
      </c>
      <c r="W5" s="17"/>
      <c r="X5" s="17">
        <v>17</v>
      </c>
      <c r="Y5" s="17">
        <v>1.8859999999999999</v>
      </c>
      <c r="Z5" s="7">
        <f t="shared" si="1"/>
        <v>58.931552587646088</v>
      </c>
      <c r="AA5" s="7">
        <f>AVERAGE(Z3:Z5)</f>
        <v>40.270015242795971</v>
      </c>
      <c r="AB5" s="7">
        <f>_xlfn.STDEV.P(Z3:Z5)</f>
        <v>13.316129514862309</v>
      </c>
      <c r="AH5" s="17"/>
      <c r="AI5" s="17">
        <v>17</v>
      </c>
      <c r="AJ5" s="17">
        <v>8.0250000000000004</v>
      </c>
      <c r="AK5" s="7">
        <f t="shared" si="2"/>
        <v>49.315789473684212</v>
      </c>
    </row>
    <row r="6" spans="1:43" x14ac:dyDescent="0.3">
      <c r="A6" s="17" t="s">
        <v>102</v>
      </c>
      <c r="B6" s="17">
        <v>2</v>
      </c>
      <c r="C6" s="17">
        <v>3.5339999999999998</v>
      </c>
      <c r="D6" s="7">
        <f>(1-C6/$I$3)*100</f>
        <v>82.185404869524305</v>
      </c>
      <c r="E6" s="13">
        <f>AVERAGE(D6:D8)</f>
        <v>55.303883185186429</v>
      </c>
      <c r="F6" s="13">
        <f>_xlfn.STDEV.P(D6:D8)</f>
        <v>24.683771661949333</v>
      </c>
      <c r="L6" s="17" t="s">
        <v>107</v>
      </c>
      <c r="M6" s="17">
        <v>3</v>
      </c>
      <c r="N6" s="17">
        <v>1.0329999999999999</v>
      </c>
      <c r="O6" s="19"/>
      <c r="W6" s="17" t="s">
        <v>123</v>
      </c>
      <c r="X6" s="17">
        <v>8</v>
      </c>
      <c r="Y6" s="17">
        <v>3.5649999999999999</v>
      </c>
      <c r="Z6" s="7">
        <f t="shared" si="1"/>
        <v>22.370617696160267</v>
      </c>
      <c r="AH6" s="17" t="s">
        <v>123</v>
      </c>
      <c r="AI6" s="17">
        <v>8</v>
      </c>
      <c r="AJ6" s="17">
        <v>7.3259999999999996</v>
      </c>
      <c r="AK6" s="7">
        <f t="shared" si="2"/>
        <v>53.730526315789476</v>
      </c>
      <c r="AL6" s="7">
        <f>AVERAGE(AK6:AK8)</f>
        <v>36.044210526315787</v>
      </c>
      <c r="AM6" s="5">
        <f>_xlfn.STDEV.P(AK6:AK8)</f>
        <v>12.576412517111311</v>
      </c>
    </row>
    <row r="7" spans="1:43" x14ac:dyDescent="0.3">
      <c r="A7" s="17" t="s">
        <v>102</v>
      </c>
      <c r="B7" s="17">
        <v>8</v>
      </c>
      <c r="C7" s="17">
        <v>7.7069999999999999</v>
      </c>
      <c r="D7" s="7">
        <f>(1-C7/$I$3)*100</f>
        <v>61.149664779123889</v>
      </c>
      <c r="L7" s="17"/>
      <c r="M7" s="17">
        <v>17</v>
      </c>
      <c r="N7" s="17">
        <v>6.8150000000000004</v>
      </c>
      <c r="O7" s="19"/>
      <c r="W7" s="17"/>
      <c r="X7" s="17">
        <v>13</v>
      </c>
      <c r="Y7" s="17">
        <v>1.875</v>
      </c>
      <c r="Z7" s="7">
        <f t="shared" si="1"/>
        <v>59.171082238513463</v>
      </c>
      <c r="AH7" s="17"/>
      <c r="AI7" s="17">
        <v>12</v>
      </c>
      <c r="AJ7" s="17">
        <v>11.784000000000001</v>
      </c>
      <c r="AK7" s="7">
        <f t="shared" si="2"/>
        <v>25.57473684210526</v>
      </c>
    </row>
    <row r="8" spans="1:43" x14ac:dyDescent="0.3">
      <c r="A8" s="17" t="s">
        <v>102</v>
      </c>
      <c r="B8" s="17">
        <v>17</v>
      </c>
      <c r="C8" s="17">
        <v>15.359</v>
      </c>
      <c r="D8" s="7">
        <f>(1-C8/$I$3)*100</f>
        <v>22.5765799069111</v>
      </c>
      <c r="L8" s="17"/>
      <c r="M8" s="17">
        <v>25</v>
      </c>
      <c r="N8" s="17">
        <v>5.9630000000000001</v>
      </c>
      <c r="O8" s="19"/>
      <c r="W8" s="17"/>
      <c r="X8" s="17">
        <v>18</v>
      </c>
      <c r="Y8" s="17">
        <v>2.411</v>
      </c>
      <c r="Z8" s="7">
        <f t="shared" si="1"/>
        <v>47.499455614429841</v>
      </c>
      <c r="AA8" s="7">
        <f>AVERAGE(Z6:Z8)</f>
        <v>43.013718516367852</v>
      </c>
      <c r="AB8" s="5">
        <f>_xlfn.STDEV.P(Z6:Z8)</f>
        <v>15.354910737132183</v>
      </c>
      <c r="AH8" s="17"/>
      <c r="AI8" s="17">
        <v>18</v>
      </c>
      <c r="AJ8" s="17">
        <v>11.269</v>
      </c>
      <c r="AK8" s="7">
        <f t="shared" si="2"/>
        <v>28.827368421052636</v>
      </c>
    </row>
    <row r="9" spans="1:43" x14ac:dyDescent="0.3">
      <c r="A9" s="17" t="s">
        <v>103</v>
      </c>
      <c r="B9" s="17">
        <v>3</v>
      </c>
      <c r="C9" s="17">
        <v>8.0739999999999998</v>
      </c>
      <c r="D9" s="8"/>
      <c r="L9" s="17" t="s">
        <v>102</v>
      </c>
      <c r="M9" s="17">
        <v>2</v>
      </c>
      <c r="N9" s="17">
        <v>-0.76500000000000001</v>
      </c>
      <c r="O9" s="7">
        <f>(1-N9/$T$3)*100</f>
        <v>116.61718919701687</v>
      </c>
      <c r="P9" s="7">
        <f>AVERAGE(O9:O11)</f>
        <v>101.98754615885888</v>
      </c>
      <c r="Q9" s="7">
        <f>_xlfn.STDEV.P(O9:O11)</f>
        <v>14.629643038158028</v>
      </c>
      <c r="W9" s="17" t="s">
        <v>124</v>
      </c>
      <c r="X9" s="17">
        <v>1</v>
      </c>
      <c r="Y9" s="17">
        <v>-0.40100000000000002</v>
      </c>
      <c r="Z9" s="8"/>
      <c r="AH9" s="17" t="s">
        <v>125</v>
      </c>
      <c r="AI9" s="17">
        <v>11</v>
      </c>
      <c r="AJ9" s="17">
        <v>14.958</v>
      </c>
      <c r="AK9" s="8"/>
    </row>
    <row r="10" spans="1:43" x14ac:dyDescent="0.3">
      <c r="A10" s="17" t="s">
        <v>103</v>
      </c>
      <c r="B10" s="17">
        <v>20</v>
      </c>
      <c r="C10" s="17">
        <v>15.741</v>
      </c>
      <c r="D10" s="8"/>
      <c r="L10" s="17"/>
      <c r="M10" s="17">
        <v>8</v>
      </c>
      <c r="N10" s="17">
        <v>-6.7000000000000004E-2</v>
      </c>
      <c r="O10" s="7"/>
      <c r="W10" s="17"/>
      <c r="X10" s="17">
        <v>2</v>
      </c>
      <c r="Y10" s="17">
        <v>-0.748</v>
      </c>
      <c r="Z10" s="8"/>
      <c r="AH10" s="17"/>
      <c r="AI10" s="17">
        <v>13</v>
      </c>
      <c r="AJ10" s="17">
        <v>16.725000000000001</v>
      </c>
      <c r="AK10" s="8"/>
    </row>
    <row r="11" spans="1:43" x14ac:dyDescent="0.3">
      <c r="A11" s="17" t="s">
        <v>104</v>
      </c>
      <c r="B11" s="17">
        <v>4</v>
      </c>
      <c r="C11" s="17">
        <v>4.0339999999999998</v>
      </c>
      <c r="D11" s="7">
        <f t="shared" ref="D11:D16" si="3">(1-C11/$I$4)*100</f>
        <v>50.446318892801578</v>
      </c>
      <c r="E11" s="13">
        <f>AVERAGE(D11:D13)</f>
        <v>3.3576283678650398</v>
      </c>
      <c r="F11" s="13">
        <f>_xlfn.STDEV.P(D11:D13)</f>
        <v>33.301301719921653</v>
      </c>
      <c r="L11" s="17"/>
      <c r="M11" s="17">
        <v>24</v>
      </c>
      <c r="N11" s="17">
        <v>0.58199999999999996</v>
      </c>
      <c r="O11" s="7">
        <f t="shared" ref="O10:O11" si="4">(1-N11/$T$3)*100</f>
        <v>87.357903120700882</v>
      </c>
      <c r="W11" s="17"/>
      <c r="X11" s="17">
        <v>3</v>
      </c>
      <c r="Y11" s="17">
        <v>1.0940000000000001</v>
      </c>
      <c r="Z11" s="8"/>
      <c r="AH11" s="17"/>
      <c r="AI11" s="17">
        <v>15</v>
      </c>
      <c r="AJ11" s="17">
        <v>15.817</v>
      </c>
      <c r="AK11" s="8"/>
    </row>
    <row r="12" spans="1:43" x14ac:dyDescent="0.3">
      <c r="A12" s="17" t="s">
        <v>104</v>
      </c>
      <c r="B12" s="17">
        <v>21</v>
      </c>
      <c r="C12" s="17">
        <v>9.8390000000000004</v>
      </c>
      <c r="D12" s="7">
        <f t="shared" si="3"/>
        <v>-20.862337236917551</v>
      </c>
      <c r="L12" s="17" t="s">
        <v>105</v>
      </c>
      <c r="M12" s="17">
        <v>5</v>
      </c>
      <c r="N12" s="17">
        <v>-0.30399999999999999</v>
      </c>
      <c r="O12">
        <f>(1-N12/$T$4)*100</f>
        <v>130.13879709187046</v>
      </c>
      <c r="P12" s="7">
        <f>AVERAGE(O12:O14)</f>
        <v>53.602115003304696</v>
      </c>
      <c r="Q12" s="7">
        <f>_xlfn.STDEV.P(O12:O14)</f>
        <v>54.80832533478813</v>
      </c>
      <c r="W12" s="17" t="s">
        <v>125</v>
      </c>
      <c r="X12" s="17">
        <v>10</v>
      </c>
      <c r="Y12" s="17">
        <v>5.266</v>
      </c>
      <c r="Z12" s="8"/>
    </row>
    <row r="13" spans="1:43" x14ac:dyDescent="0.3">
      <c r="A13" s="17" t="s">
        <v>104</v>
      </c>
      <c r="B13" s="17">
        <v>25</v>
      </c>
      <c r="C13" s="17">
        <v>9.7289999999999992</v>
      </c>
      <c r="D13" s="7">
        <f t="shared" si="3"/>
        <v>-19.511096552288908</v>
      </c>
      <c r="L13" s="17"/>
      <c r="M13" s="17">
        <v>18</v>
      </c>
      <c r="N13" s="17">
        <v>0.747</v>
      </c>
      <c r="O13">
        <f t="shared" ref="O13:O17" si="5">(1-N13/$T$4)*100</f>
        <v>25.94183740912095</v>
      </c>
      <c r="W13" s="17"/>
      <c r="X13" s="17">
        <v>14</v>
      </c>
      <c r="Y13" s="17">
        <v>2.7480000000000002</v>
      </c>
      <c r="Z13" s="8"/>
    </row>
    <row r="14" spans="1:43" x14ac:dyDescent="0.3">
      <c r="A14" s="17" t="s">
        <v>105</v>
      </c>
      <c r="B14" s="17">
        <v>5</v>
      </c>
      <c r="C14" s="17">
        <v>3.222</v>
      </c>
      <c r="D14" s="7">
        <f t="shared" si="3"/>
        <v>60.420931946605513</v>
      </c>
      <c r="E14" s="13">
        <f>AVERAGE(D14:D16)</f>
        <v>49.717467856850384</v>
      </c>
      <c r="F14" s="13">
        <f>_xlfn.STDEV.P(D14:D16)</f>
        <v>8.1595909673878584</v>
      </c>
      <c r="L14" s="17"/>
      <c r="M14" s="17">
        <v>26</v>
      </c>
      <c r="N14" s="17">
        <v>0.96099999999999997</v>
      </c>
      <c r="O14">
        <f t="shared" si="5"/>
        <v>4.7257105089226652</v>
      </c>
      <c r="W14" s="17"/>
      <c r="X14" s="17">
        <v>15</v>
      </c>
      <c r="Y14" s="17">
        <v>5.7629999999999999</v>
      </c>
      <c r="Z14" s="8"/>
    </row>
    <row r="15" spans="1:43" x14ac:dyDescent="0.3">
      <c r="A15" s="17" t="s">
        <v>105</v>
      </c>
      <c r="B15" s="17">
        <v>19</v>
      </c>
      <c r="C15" s="17">
        <v>4.2249999999999996</v>
      </c>
      <c r="D15" s="7">
        <f t="shared" si="3"/>
        <v>48.100073704037349</v>
      </c>
      <c r="L15" s="17" t="s">
        <v>104</v>
      </c>
      <c r="M15" s="17">
        <v>1</v>
      </c>
      <c r="N15" s="17">
        <v>-0.67600000000000005</v>
      </c>
      <c r="O15">
        <f t="shared" si="5"/>
        <v>167.0191672174488</v>
      </c>
      <c r="P15" s="13">
        <f>AVERAGE(O15:O17)</f>
        <v>142.59748843357571</v>
      </c>
      <c r="Q15" s="7">
        <f>_xlfn.STDEV.P(O15:O17)</f>
        <v>30.561779171053871</v>
      </c>
      <c r="W15" s="17" t="s">
        <v>126</v>
      </c>
      <c r="X15" s="17">
        <v>4</v>
      </c>
      <c r="Y15" s="17">
        <v>3.3180000000000001</v>
      </c>
      <c r="Z15" s="8"/>
    </row>
    <row r="16" spans="1:43" x14ac:dyDescent="0.3">
      <c r="A16" s="17" t="s">
        <v>105</v>
      </c>
      <c r="B16" s="17">
        <v>26</v>
      </c>
      <c r="C16" s="17">
        <v>4.8330000000000002</v>
      </c>
      <c r="D16" s="7">
        <f t="shared" si="3"/>
        <v>40.631397919908274</v>
      </c>
      <c r="L16" s="17"/>
      <c r="M16" s="17">
        <v>19</v>
      </c>
      <c r="N16" s="17">
        <v>5.0000000000000001E-3</v>
      </c>
      <c r="O16">
        <f t="shared" si="5"/>
        <v>99.504296100462653</v>
      </c>
      <c r="W16" s="17"/>
      <c r="X16" s="17">
        <v>6</v>
      </c>
      <c r="Y16" s="17">
        <v>5.1589999999999998</v>
      </c>
      <c r="Z16" s="8"/>
    </row>
    <row r="17" spans="1:26" x14ac:dyDescent="0.3">
      <c r="A17" s="17" t="s">
        <v>106</v>
      </c>
      <c r="B17" s="17">
        <v>6</v>
      </c>
      <c r="C17" s="17">
        <v>3.9550000000000001</v>
      </c>
      <c r="D17" s="7">
        <f>(1-C17/$I$3)*100</f>
        <v>80.063179473392367</v>
      </c>
      <c r="E17" s="13">
        <f>AVERAGE(D17:D19)</f>
        <v>54.641842958681302</v>
      </c>
      <c r="F17" s="5">
        <f>_xlfn.STDEV.P(D17:D19)</f>
        <v>20.958907112177322</v>
      </c>
      <c r="L17" s="17"/>
      <c r="M17" s="17">
        <v>22</v>
      </c>
      <c r="N17" s="17">
        <v>-0.61799999999999999</v>
      </c>
      <c r="O17">
        <f t="shared" si="5"/>
        <v>161.26900198281561</v>
      </c>
      <c r="W17" s="17"/>
      <c r="X17" s="17">
        <v>7</v>
      </c>
      <c r="Y17" s="17">
        <v>6.2869999999999999</v>
      </c>
      <c r="Z17" s="8"/>
    </row>
    <row r="18" spans="1:26" x14ac:dyDescent="0.3">
      <c r="A18" s="17" t="s">
        <v>106</v>
      </c>
      <c r="B18" s="17">
        <v>10</v>
      </c>
      <c r="C18" s="17">
        <v>8.9009999999999998</v>
      </c>
      <c r="D18" s="7">
        <f>(1-C18/$I$3)*100</f>
        <v>55.13081175541479</v>
      </c>
      <c r="L18" s="17" t="s">
        <v>101</v>
      </c>
      <c r="M18" s="17">
        <v>4</v>
      </c>
      <c r="N18" s="17">
        <v>0.21299999999999999</v>
      </c>
      <c r="O18" s="8"/>
    </row>
    <row r="19" spans="1:26" x14ac:dyDescent="0.3">
      <c r="A19" s="17" t="s">
        <v>106</v>
      </c>
      <c r="B19" s="17">
        <v>22</v>
      </c>
      <c r="C19" s="17">
        <v>14.138</v>
      </c>
      <c r="D19" s="7">
        <f>(1-C19/$I$3)*100</f>
        <v>28.731537647236738</v>
      </c>
      <c r="L19" s="17"/>
      <c r="M19" s="17">
        <v>10</v>
      </c>
      <c r="N19" s="17">
        <v>1.2529999999999999</v>
      </c>
      <c r="O19" s="8"/>
    </row>
    <row r="20" spans="1:26" x14ac:dyDescent="0.3">
      <c r="A20" s="17" t="s">
        <v>107</v>
      </c>
      <c r="B20" s="17">
        <v>7</v>
      </c>
      <c r="C20" s="17">
        <v>12.532999999999999</v>
      </c>
      <c r="D20" s="8"/>
      <c r="L20" s="17"/>
      <c r="M20" s="17">
        <v>23</v>
      </c>
      <c r="N20" s="17">
        <v>1.56</v>
      </c>
      <c r="O20" s="8"/>
    </row>
    <row r="21" spans="1:26" x14ac:dyDescent="0.3">
      <c r="A21" s="17" t="s">
        <v>107</v>
      </c>
      <c r="B21" s="17">
        <v>18</v>
      </c>
      <c r="C21" s="17">
        <v>18.670999999999999</v>
      </c>
      <c r="D21" s="8"/>
      <c r="L21" s="17" t="s">
        <v>103</v>
      </c>
      <c r="M21" s="17">
        <v>6</v>
      </c>
      <c r="N21" s="17">
        <v>11.694000000000001</v>
      </c>
      <c r="O21" s="8"/>
    </row>
    <row r="22" spans="1:26" x14ac:dyDescent="0.3">
      <c r="A22" s="17" t="s">
        <v>107</v>
      </c>
      <c r="B22" s="17">
        <v>23</v>
      </c>
      <c r="C22" s="17">
        <v>28.309000000000001</v>
      </c>
      <c r="D22" s="8"/>
      <c r="L22" s="17"/>
      <c r="M22" s="17">
        <v>20</v>
      </c>
      <c r="N22" s="17">
        <v>18.010999999999999</v>
      </c>
      <c r="O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Relative treatments 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2026-04-12T14:34:42Z</dcterms:modified>
</cp:coreProperties>
</file>