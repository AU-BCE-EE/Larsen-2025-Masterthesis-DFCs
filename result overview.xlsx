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C9E25DB5-F41B-441F-BA30-BCB4FC127D4D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Overview" sheetId="1" r:id="rId1"/>
    <sheet name="LabInital" sheetId="2" r:id="rId2"/>
    <sheet name="LabPig" sheetId="6" r:id="rId3"/>
    <sheet name="LabCattle2" sheetId="5" r:id="rId4"/>
    <sheet name="FieldPig" sheetId="4" r:id="rId5"/>
    <sheet name="FieldCattle" sheetId="3" r:id="rId6"/>
    <sheet name="FieldCattleExtrap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C5" i="7"/>
  <c r="L2" i="7"/>
  <c r="K2" i="7"/>
  <c r="H7" i="7" s="1"/>
  <c r="D2" i="7"/>
  <c r="C2" i="7"/>
  <c r="D14" i="6"/>
  <c r="J14" i="6"/>
  <c r="I2" i="5"/>
  <c r="K14" i="6"/>
  <c r="K11" i="6"/>
  <c r="J11" i="6"/>
  <c r="K5" i="6"/>
  <c r="J5" i="6"/>
  <c r="K2" i="6"/>
  <c r="J2" i="6"/>
  <c r="I2" i="6"/>
  <c r="I16" i="6"/>
  <c r="I15" i="6"/>
  <c r="I14" i="6"/>
  <c r="I13" i="6"/>
  <c r="I12" i="6"/>
  <c r="I11" i="6"/>
  <c r="I7" i="6"/>
  <c r="I6" i="6"/>
  <c r="I5" i="6"/>
  <c r="I4" i="6"/>
  <c r="I3" i="6"/>
  <c r="G11" i="6"/>
  <c r="H5" i="6"/>
  <c r="G5" i="6"/>
  <c r="G2" i="6"/>
  <c r="F3" i="6"/>
  <c r="F2" i="6"/>
  <c r="F5" i="6"/>
  <c r="H14" i="6"/>
  <c r="G14" i="6"/>
  <c r="H11" i="6"/>
  <c r="H2" i="6"/>
  <c r="F11" i="6"/>
  <c r="F16" i="6"/>
  <c r="F15" i="6"/>
  <c r="F14" i="6"/>
  <c r="F13" i="6"/>
  <c r="F12" i="6"/>
  <c r="F7" i="6"/>
  <c r="F6" i="6"/>
  <c r="F4" i="6"/>
  <c r="L3" i="6"/>
  <c r="L2" i="6"/>
  <c r="M3" i="6"/>
  <c r="M2" i="6"/>
  <c r="E2" i="6"/>
  <c r="E17" i="6"/>
  <c r="E14" i="6"/>
  <c r="E11" i="6"/>
  <c r="E8" i="6"/>
  <c r="E5" i="6"/>
  <c r="D17" i="6"/>
  <c r="D11" i="6"/>
  <c r="D8" i="6"/>
  <c r="D5" i="6"/>
  <c r="D2" i="6"/>
  <c r="K14" i="5"/>
  <c r="K11" i="5"/>
  <c r="K5" i="5"/>
  <c r="I11" i="5"/>
  <c r="I12" i="5"/>
  <c r="I13" i="5"/>
  <c r="I14" i="5"/>
  <c r="I15" i="5"/>
  <c r="I16" i="5"/>
  <c r="I3" i="5"/>
  <c r="I4" i="5"/>
  <c r="I5" i="5"/>
  <c r="J5" i="5" s="1"/>
  <c r="I6" i="5"/>
  <c r="I7" i="5"/>
  <c r="F2" i="5"/>
  <c r="J14" i="5"/>
  <c r="J11" i="5"/>
  <c r="I2" i="4"/>
  <c r="H14" i="5"/>
  <c r="G14" i="5"/>
  <c r="H11" i="5"/>
  <c r="G11" i="5"/>
  <c r="G5" i="5"/>
  <c r="H2" i="5"/>
  <c r="G2" i="5"/>
  <c r="F12" i="5"/>
  <c r="F13" i="5"/>
  <c r="F14" i="5"/>
  <c r="F15" i="5"/>
  <c r="F16" i="5"/>
  <c r="F11" i="5"/>
  <c r="F3" i="5"/>
  <c r="F4" i="5"/>
  <c r="F5" i="5"/>
  <c r="F6" i="5"/>
  <c r="F7" i="5"/>
  <c r="M3" i="5"/>
  <c r="L3" i="5"/>
  <c r="M2" i="5"/>
  <c r="L2" i="5"/>
  <c r="L2" i="4"/>
  <c r="E17" i="5"/>
  <c r="E14" i="5"/>
  <c r="E11" i="5"/>
  <c r="E8" i="5"/>
  <c r="E5" i="5"/>
  <c r="E2" i="5"/>
  <c r="E2" i="4"/>
  <c r="D17" i="5"/>
  <c r="D14" i="5"/>
  <c r="D11" i="5"/>
  <c r="D8" i="5"/>
  <c r="D5" i="5"/>
  <c r="D2" i="5"/>
  <c r="E5" i="4"/>
  <c r="D5" i="4"/>
  <c r="D2" i="4"/>
  <c r="J5" i="3"/>
  <c r="J2" i="3"/>
  <c r="I5" i="3"/>
  <c r="I2" i="3"/>
  <c r="H3" i="3"/>
  <c r="H4" i="3"/>
  <c r="H5" i="3"/>
  <c r="H6" i="3"/>
  <c r="H7" i="3"/>
  <c r="H2" i="3"/>
  <c r="G5" i="3"/>
  <c r="G2" i="3"/>
  <c r="D5" i="3"/>
  <c r="D2" i="3"/>
  <c r="C5" i="3"/>
  <c r="C2" i="3"/>
  <c r="E2" i="3"/>
  <c r="L2" i="3"/>
  <c r="K2" i="3"/>
  <c r="E3" i="3" s="1"/>
  <c r="M2" i="4"/>
  <c r="I7" i="4"/>
  <c r="D6" i="2"/>
  <c r="O9" i="2"/>
  <c r="P9" i="2"/>
  <c r="O3" i="2"/>
  <c r="P3" i="2"/>
  <c r="Q3" i="2"/>
  <c r="P15" i="2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O11" i="2"/>
  <c r="O4" i="2"/>
  <c r="O5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I3" i="2"/>
  <c r="I4" i="2"/>
  <c r="E2" i="7" l="1"/>
  <c r="E3" i="7"/>
  <c r="H3" i="7"/>
  <c r="H5" i="7"/>
  <c r="E5" i="7"/>
  <c r="E4" i="7"/>
  <c r="H2" i="7"/>
  <c r="H4" i="7"/>
  <c r="E6" i="7"/>
  <c r="H6" i="7"/>
  <c r="E7" i="7"/>
  <c r="J2" i="5"/>
  <c r="K2" i="5"/>
  <c r="E6" i="3"/>
  <c r="E5" i="3"/>
  <c r="F5" i="3" s="1"/>
  <c r="E4" i="3"/>
  <c r="F2" i="3" s="1"/>
  <c r="E7" i="3"/>
  <c r="F4" i="4"/>
  <c r="I4" i="4"/>
  <c r="F5" i="4"/>
  <c r="I5" i="4"/>
  <c r="F3" i="4"/>
  <c r="F2" i="4"/>
  <c r="I3" i="4"/>
  <c r="F6" i="4"/>
  <c r="I6" i="4"/>
  <c r="F7" i="4"/>
  <c r="E17" i="2"/>
  <c r="E6" i="2"/>
  <c r="F6" i="2"/>
  <c r="I2" i="7" l="1"/>
  <c r="J2" i="7"/>
  <c r="F5" i="7"/>
  <c r="G5" i="7"/>
  <c r="J5" i="7"/>
  <c r="I5" i="7"/>
  <c r="G2" i="7"/>
  <c r="F2" i="7"/>
  <c r="G5" i="4"/>
  <c r="G2" i="4"/>
  <c r="H2" i="4"/>
  <c r="K5" i="4"/>
  <c r="J5" i="4"/>
  <c r="H5" i="4"/>
  <c r="K2" i="4"/>
  <c r="J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<sst xmlns="http://schemas.openxmlformats.org/spreadsheetml/2006/main" count="384" uniqueCount="157">
  <si>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</si>
  <si>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</si>
  <si>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</si>
  <si>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</si>
  <si>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</si>
  <si>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</si>
  <si>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</si>
  <si>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</si>
  <si>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</si>
  <si>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</si>
  <si>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</si>
  <si>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</si>
  <si>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</si>
  <si>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</si>
  <si>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</si>
  <si>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</si>
  <si>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</si>
  <si>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</si>
  <si>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</si>
  <si>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</si>
  <si>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</si>
  <si>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</si>
  <si>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</si>
  <si>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</si>
  <si>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</si>
  <si>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</si>
  <si>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</si>
  <si>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</si>
  <si>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</si>
  <si>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</si>
  <si>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</si>
  <si>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</si>
  <si>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</si>
  <si>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</si>
  <si>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</si>
  <si>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</si>
  <si>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</si>
  <si>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</si>
  <si>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</si>
  <si>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</si>
  <si>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</si>
  <si>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</si>
  <si>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</si>
  <si>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</si>
  <si>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</si>
  <si>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</si>
  <si>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</si>
  <si>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</si>
  <si>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</si>
  <si>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</si>
  <si>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</si>
  <si>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</si>
  <si>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</si>
  <si>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</si>
  <si>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</si>
  <si>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</si>
  <si>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</si>
  <si>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</si>
  <si>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</si>
  <si>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</si>
  <si>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</si>
  <si>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</si>
  <si>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</si>
  <si>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</si>
  <si>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</si>
  <si>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</si>
  <si>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</si>
  <si>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</si>
  <si>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</si>
  <si>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</si>
  <si>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</si>
  <si>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</si>
  <si>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</si>
  <si>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</si>
  <si>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</si>
  <si>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</si>
  <si>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</si>
  <si>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</si>
  <si>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</si>
  <si>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</si>
  <si>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</si>
  <si>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</si>
  <si>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</si>
  <si>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</si>
  <si>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</si>
  <si>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</si>
  <si>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</si>
  <si>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</si>
  <si>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</si>
  <si>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</si>
  <si>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</si>
  <si>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</si>
  <si>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</si>
  <si>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</si>
  <si>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</si>
  <si>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</si>
  <si>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</si>
  <si>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</si>
  <si>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</si>
  <si>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</si>
  <si>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</si>
  <si>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</si>
  <si>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</si>
  <si>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</si>
  <si>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</si>
  <si>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</si>
  <si>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</si>
  <si>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</si>
  <si>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</si>
  <si>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</si>
  <si>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</si>
  <si>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</si>
  <si>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</si>
  <si>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</si>
  <si>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</si>
  <si>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</si>
  <si>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</si>
  <si>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</si>
  <si>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</si>
  <si>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</si>
  <si>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</si>
  <si>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</si>
  <si>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</si>
  <si>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</si>
  <si>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</si>
  <si>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</si>
  <si>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</si>
  <si>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</si>
  <si>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</si>
  <si>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</si>
  <si>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</si>
  <si>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</si>
  <si>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</si>
  <si>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</si>
  <si>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</si>
  <si>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</si>
  <si>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</si>
  <si>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</si>
  <si>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</si>
  <si>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</si>
  <si>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</si>
  <si>
    <t>Final Accumulated Emission (%)</t>
  </si>
  <si>
    <t>Reference mean (%)</t>
  </si>
  <si>
    <t>Abosule reduction (%)</t>
  </si>
  <si>
    <t>Mean</t>
  </si>
  <si>
    <t>stdev</t>
  </si>
  <si>
    <t>Relative reduction</t>
  </si>
  <si>
    <t>Stdev</t>
  </si>
  <si>
    <t xml:space="preserve">Reference stdev </t>
  </si>
  <si>
    <t>Accumulated Emission (%)</t>
  </si>
  <si>
    <t>Reference stdev</t>
  </si>
  <si>
    <t xml:space="preserve">Mean </t>
  </si>
  <si>
    <t>stedev</t>
  </si>
  <si>
    <t>FRAW</t>
  </si>
  <si>
    <t>PRAW</t>
  </si>
  <si>
    <t>Abosule reduction (%TAN)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</si>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</sst>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165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C22" sqref="C22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0.5546875" bestFit="1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 s="20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opLeftCell="V1" workbookViewId="0">
      <selection activeCell="D7" sqref="D7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10.697994352327839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101.98754615885888</v>
      </c>
      <c r="Q9" s="7">
        <f>_xlfn.STDEV.P(O9:O11)</f>
        <v>14.629643038158028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/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3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ref="O11" si="4">(1-N11/$T$3)*100</f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3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3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3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3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3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5CFDC-F7E9-4973-A13F-60B0371C6250}">
  <dimension ref="A1:N22"/>
  <sheetViews>
    <sheetView workbookViewId="0">
      <selection activeCell="D15" sqref="D15"/>
    </sheetView>
  </sheetViews>
  <sheetFormatPr defaultRowHeight="14.4" x14ac:dyDescent="0.3"/>
  <cols>
    <col min="1" max="2" width="11.109375" customWidth="1"/>
    <col min="3" max="3" width="14.44140625" customWidth="1"/>
  </cols>
  <sheetData>
    <row r="1" spans="1:14" ht="43.2" x14ac:dyDescent="0.3">
      <c r="A1" s="21" t="s">
        <v>109</v>
      </c>
      <c r="B1" s="21" t="s">
        <v>110</v>
      </c>
      <c r="C1" s="21" t="s">
        <v>141</v>
      </c>
      <c r="D1" s="21" t="s">
        <v>144</v>
      </c>
      <c r="E1" s="21" t="s">
        <v>147</v>
      </c>
      <c r="F1" s="21" t="s">
        <v>155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  <c r="N1" s="21" t="s">
        <v>156</v>
      </c>
    </row>
    <row r="2" spans="1:14" x14ac:dyDescent="0.3">
      <c r="A2" s="23" t="s">
        <v>106</v>
      </c>
      <c r="B2" s="17">
        <v>7</v>
      </c>
      <c r="C2" s="17">
        <v>0.2</v>
      </c>
      <c r="D2">
        <f>AVERAGE(C2:C4)</f>
        <v>0.40633333333333327</v>
      </c>
      <c r="E2">
        <f>STDEV(C2:C4)</f>
        <v>0.83289395083247741</v>
      </c>
      <c r="F2">
        <f>$L$2-C2</f>
        <v>4.399</v>
      </c>
      <c r="G2" s="5">
        <f>AVERAGE(F2:F4)</f>
        <v>4.1926666666666668</v>
      </c>
      <c r="H2" s="5">
        <f>_xlfn.STDEV.P(F2:F4)</f>
        <v>0.68005506313010777</v>
      </c>
      <c r="I2">
        <f>(1-C2/$L$2)*100</f>
        <v>95.651228527940859</v>
      </c>
      <c r="J2" s="5">
        <f>AVERAGE(I2:I4)</f>
        <v>91.164745959266497</v>
      </c>
      <c r="K2" s="5">
        <f>_xlfn.STDEV.P(I2:I4)</f>
        <v>14.787020289847954</v>
      </c>
      <c r="L2">
        <f>D8</f>
        <v>4.5990000000000002</v>
      </c>
      <c r="M2">
        <f>E8</f>
        <v>2.5486444763180804</v>
      </c>
      <c r="N2" t="s">
        <v>113</v>
      </c>
    </row>
    <row r="3" spans="1:14" x14ac:dyDescent="0.3">
      <c r="A3" s="23" t="s">
        <v>106</v>
      </c>
      <c r="B3" s="17">
        <v>9</v>
      </c>
      <c r="C3" s="17">
        <v>-0.30399999999999999</v>
      </c>
      <c r="F3">
        <f>$L$2-C3</f>
        <v>4.9030000000000005</v>
      </c>
      <c r="I3">
        <f t="shared" ref="I3:I7" si="0">(1-C3/$L$2)*100</f>
        <v>106.6101326375299</v>
      </c>
      <c r="L3">
        <f>D17</f>
        <v>1.0053333333333334</v>
      </c>
      <c r="M3">
        <f>E17</f>
        <v>0.5625918196664037</v>
      </c>
      <c r="N3" t="s">
        <v>112</v>
      </c>
    </row>
    <row r="4" spans="1:14" x14ac:dyDescent="0.3">
      <c r="A4" s="23" t="s">
        <v>106</v>
      </c>
      <c r="B4" s="17">
        <v>21</v>
      </c>
      <c r="C4" s="17">
        <v>1.323</v>
      </c>
      <c r="F4">
        <f t="shared" ref="F4:F7" si="1">$L$2-C4</f>
        <v>3.2760000000000002</v>
      </c>
      <c r="I4">
        <f t="shared" si="0"/>
        <v>71.232876712328761</v>
      </c>
    </row>
    <row r="5" spans="1:14" x14ac:dyDescent="0.3">
      <c r="A5" s="23" t="s">
        <v>102</v>
      </c>
      <c r="B5" s="17">
        <v>2</v>
      </c>
      <c r="C5" s="17">
        <v>-0.77600000000000002</v>
      </c>
      <c r="D5">
        <f>AVERAGE(C5:C7)</f>
        <v>-7.9333333333333367E-2</v>
      </c>
      <c r="E5">
        <f>_xlfn.STDEV.P(C5:C7)</f>
        <v>0.55534033609030142</v>
      </c>
      <c r="F5">
        <f>$L$2-C5</f>
        <v>5.375</v>
      </c>
      <c r="G5" s="5">
        <f>AVERAGE(F5:F7)</f>
        <v>4.6783333333333337</v>
      </c>
      <c r="H5" s="5">
        <f>_xlfn.STDEV.P(F5:F7)</f>
        <v>0.55534033609030586</v>
      </c>
      <c r="I5">
        <f t="shared" si="0"/>
        <v>116.87323331158947</v>
      </c>
      <c r="J5" s="5">
        <f>AVERAGE(I5:I7)</f>
        <v>101.7250126839168</v>
      </c>
      <c r="K5" s="5">
        <f>_xlfn.STDEV.P(I5:I7)</f>
        <v>12.075241054366145</v>
      </c>
    </row>
    <row r="6" spans="1:14" x14ac:dyDescent="0.3">
      <c r="A6" s="23" t="s">
        <v>102</v>
      </c>
      <c r="B6" s="17">
        <v>8</v>
      </c>
      <c r="C6" s="17">
        <v>-4.4999999999999998E-2</v>
      </c>
      <c r="F6">
        <f t="shared" si="1"/>
        <v>4.6440000000000001</v>
      </c>
      <c r="I6">
        <f t="shared" si="0"/>
        <v>100.97847358121331</v>
      </c>
    </row>
    <row r="7" spans="1:14" x14ac:dyDescent="0.3">
      <c r="A7" s="23" t="s">
        <v>102</v>
      </c>
      <c r="B7" s="17">
        <v>24</v>
      </c>
      <c r="C7" s="17">
        <v>0.58299999999999996</v>
      </c>
      <c r="F7">
        <f t="shared" si="1"/>
        <v>4.016</v>
      </c>
      <c r="I7">
        <f t="shared" si="0"/>
        <v>87.323331158947596</v>
      </c>
    </row>
    <row r="8" spans="1:14" x14ac:dyDescent="0.3">
      <c r="A8" s="23" t="s">
        <v>107</v>
      </c>
      <c r="B8" s="17">
        <v>3</v>
      </c>
      <c r="C8" s="17">
        <v>1.028</v>
      </c>
      <c r="D8">
        <f>AVERAGE(C8:C10)</f>
        <v>4.5990000000000002</v>
      </c>
      <c r="E8">
        <f>_xlfn.STDEV.P(C8:C10)</f>
        <v>2.5486444763180804</v>
      </c>
      <c r="F8" s="8"/>
      <c r="I8" s="8"/>
    </row>
    <row r="9" spans="1:14" x14ac:dyDescent="0.3">
      <c r="A9" s="23" t="s">
        <v>107</v>
      </c>
      <c r="B9" s="17">
        <v>17</v>
      </c>
      <c r="C9" s="17">
        <v>6.8079999999999998</v>
      </c>
      <c r="F9" s="8"/>
      <c r="I9" s="8"/>
    </row>
    <row r="10" spans="1:14" x14ac:dyDescent="0.3">
      <c r="A10" s="23" t="s">
        <v>107</v>
      </c>
      <c r="B10" s="17">
        <v>25</v>
      </c>
      <c r="C10" s="17">
        <v>5.9610000000000003</v>
      </c>
      <c r="F10" s="8"/>
      <c r="I10" s="8"/>
    </row>
    <row r="11" spans="1:14" x14ac:dyDescent="0.3">
      <c r="A11" s="23" t="s">
        <v>105</v>
      </c>
      <c r="B11" s="17">
        <v>5</v>
      </c>
      <c r="C11" s="17">
        <v>-0.28199999999999997</v>
      </c>
      <c r="D11">
        <f>AVERAGE(C11:C13)</f>
        <v>0.46866666666666662</v>
      </c>
      <c r="E11">
        <f>_xlfn.STDEV.P(C11:C13)</f>
        <v>0.53947464156240832</v>
      </c>
      <c r="F11">
        <f>$L$3-C11</f>
        <v>1.2873333333333334</v>
      </c>
      <c r="G11" s="5">
        <f>AVERAGE(F11:F13)</f>
        <v>0.53666666666666674</v>
      </c>
      <c r="H11" s="5">
        <f>_xlfn.STDEV.P(F11:F13)</f>
        <v>0.53947464156240832</v>
      </c>
      <c r="I11">
        <f>(1-C11/$L$3)*100</f>
        <v>128.05039787798407</v>
      </c>
      <c r="J11" s="5">
        <f>AVERAGE(I11:I13)</f>
        <v>53.381962864721487</v>
      </c>
      <c r="K11" s="5">
        <f>_xlfn.STDEV.P(I11:I13)</f>
        <v>53.661270712441123</v>
      </c>
    </row>
    <row r="12" spans="1:14" x14ac:dyDescent="0.3">
      <c r="A12" s="23" t="s">
        <v>105</v>
      </c>
      <c r="B12" s="17">
        <v>18</v>
      </c>
      <c r="C12" s="17">
        <v>0.72599999999999998</v>
      </c>
      <c r="F12">
        <f t="shared" ref="F12:F16" si="2">$L$3-C12</f>
        <v>0.27933333333333343</v>
      </c>
      <c r="I12">
        <f t="shared" ref="I12:I16" si="3">(1-C12/$L$3)*100</f>
        <v>27.785145888594176</v>
      </c>
    </row>
    <row r="13" spans="1:14" x14ac:dyDescent="0.3">
      <c r="A13" s="23" t="s">
        <v>105</v>
      </c>
      <c r="B13" s="17">
        <v>26</v>
      </c>
      <c r="C13" s="17">
        <v>0.96199999999999997</v>
      </c>
      <c r="F13">
        <f t="shared" si="2"/>
        <v>4.3333333333333446E-2</v>
      </c>
      <c r="I13">
        <f t="shared" si="3"/>
        <v>4.3103448275862206</v>
      </c>
    </row>
    <row r="14" spans="1:14" x14ac:dyDescent="0.3">
      <c r="A14" s="23" t="s">
        <v>104</v>
      </c>
      <c r="B14" s="17">
        <v>1</v>
      </c>
      <c r="C14" s="17">
        <v>-0.67900000000000005</v>
      </c>
      <c r="D14">
        <f>AVERAGE(C14:C16)</f>
        <v>-0.4366666666666667</v>
      </c>
      <c r="E14">
        <f>_xlfn.STDEV.P(C14:C16)</f>
        <v>0.30061085956579958</v>
      </c>
      <c r="F14">
        <f t="shared" si="2"/>
        <v>1.6843333333333335</v>
      </c>
      <c r="G14" s="5">
        <f>AVERAGE(F14:F16)</f>
        <v>1.4420000000000002</v>
      </c>
      <c r="H14" s="5">
        <f>_xlfn.STDEV.P(F14:F16)</f>
        <v>0.30061085956579897</v>
      </c>
      <c r="I14">
        <f t="shared" si="3"/>
        <v>167.53978779840847</v>
      </c>
      <c r="J14" s="5">
        <f>AVERAGE(I14:I16)</f>
        <v>143.43501326259945</v>
      </c>
      <c r="K14" s="5">
        <f>_xlfn.STDEV.P(I14:I16)</f>
        <v>29.901610699515913</v>
      </c>
    </row>
    <row r="15" spans="1:14" x14ac:dyDescent="0.3">
      <c r="A15" s="23" t="s">
        <v>104</v>
      </c>
      <c r="B15" s="17">
        <v>19</v>
      </c>
      <c r="C15" s="17">
        <v>-1.2999999999999999E-2</v>
      </c>
      <c r="F15">
        <f t="shared" si="2"/>
        <v>1.0183333333333333</v>
      </c>
      <c r="I15">
        <f t="shared" si="3"/>
        <v>101.29310344827587</v>
      </c>
    </row>
    <row r="16" spans="1:14" x14ac:dyDescent="0.3">
      <c r="A16" s="23" t="s">
        <v>104</v>
      </c>
      <c r="B16" s="17">
        <v>22</v>
      </c>
      <c r="C16" s="17">
        <v>-0.61799999999999999</v>
      </c>
      <c r="F16">
        <f t="shared" si="2"/>
        <v>1.6233333333333335</v>
      </c>
      <c r="I16">
        <f t="shared" si="3"/>
        <v>161.47214854111405</v>
      </c>
    </row>
    <row r="17" spans="1:6" x14ac:dyDescent="0.3">
      <c r="A17" s="23" t="s">
        <v>101</v>
      </c>
      <c r="B17" s="17">
        <v>4</v>
      </c>
      <c r="C17" s="17">
        <v>0.23300000000000001</v>
      </c>
      <c r="D17">
        <f>AVERAGE(C17:C19)</f>
        <v>1.0053333333333334</v>
      </c>
      <c r="E17">
        <f>_xlfn.STDEV.P(C17:C19)</f>
        <v>0.5625918196664037</v>
      </c>
      <c r="F17" s="8"/>
    </row>
    <row r="18" spans="1:6" x14ac:dyDescent="0.3">
      <c r="A18" s="23" t="s">
        <v>101</v>
      </c>
      <c r="B18" s="17">
        <v>10</v>
      </c>
      <c r="C18" s="17">
        <v>1.226</v>
      </c>
      <c r="F18" s="8"/>
    </row>
    <row r="19" spans="1:6" x14ac:dyDescent="0.3">
      <c r="A19" s="23" t="s">
        <v>101</v>
      </c>
      <c r="B19" s="17">
        <v>23</v>
      </c>
      <c r="C19" s="17">
        <v>1.5569999999999999</v>
      </c>
      <c r="F19" s="8"/>
    </row>
    <row r="20" spans="1:6" x14ac:dyDescent="0.3">
      <c r="A20" s="23" t="s">
        <v>103</v>
      </c>
      <c r="B20" s="17">
        <v>6</v>
      </c>
      <c r="C20" s="17">
        <v>11.701000000000001</v>
      </c>
      <c r="F20" s="8"/>
    </row>
    <row r="21" spans="1:6" x14ac:dyDescent="0.3">
      <c r="A21" s="23" t="s">
        <v>103</v>
      </c>
      <c r="B21" s="17">
        <v>20</v>
      </c>
      <c r="C21" s="17">
        <v>18.015000000000001</v>
      </c>
      <c r="F21" s="8"/>
    </row>
    <row r="22" spans="1:6" x14ac:dyDescent="0.3">
      <c r="F22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1312-AA24-4E5C-9767-196548EA26D5}">
  <dimension ref="A1:N23"/>
  <sheetViews>
    <sheetView workbookViewId="0">
      <selection activeCell="L20" sqref="L20"/>
    </sheetView>
  </sheetViews>
  <sheetFormatPr defaultRowHeight="14.4" x14ac:dyDescent="0.3"/>
  <cols>
    <col min="1" max="1" width="9.88671875" customWidth="1"/>
    <col min="3" max="3" width="13.33203125" customWidth="1"/>
    <col min="6" max="6" width="11.33203125" customWidth="1"/>
    <col min="9" max="9" width="10.88671875" customWidth="1"/>
    <col min="12" max="12" width="11.5546875" customWidth="1"/>
    <col min="13" max="13" width="11.44140625" customWidth="1"/>
  </cols>
  <sheetData>
    <row r="1" spans="1:14" ht="43.2" x14ac:dyDescent="0.3">
      <c r="A1" s="21" t="s">
        <v>109</v>
      </c>
      <c r="B1" s="21" t="s">
        <v>110</v>
      </c>
      <c r="C1" s="21" t="s">
        <v>141</v>
      </c>
      <c r="D1" s="21" t="s">
        <v>144</v>
      </c>
      <c r="E1" s="21" t="s">
        <v>147</v>
      </c>
      <c r="F1" s="21" t="s">
        <v>155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  <c r="N1" s="21" t="s">
        <v>156</v>
      </c>
    </row>
    <row r="2" spans="1:14" x14ac:dyDescent="0.3">
      <c r="A2" s="23" t="s">
        <v>106</v>
      </c>
      <c r="B2" s="17">
        <v>1</v>
      </c>
      <c r="C2" s="17">
        <v>11.452</v>
      </c>
      <c r="D2">
        <f>AVERAGE(C2:C4)</f>
        <v>18.947666666666667</v>
      </c>
      <c r="E2">
        <f>STDEV(C2:C4)</f>
        <v>10.321403215325589</v>
      </c>
      <c r="F2">
        <f>$L$2-C2</f>
        <v>18.970666666666666</v>
      </c>
      <c r="G2" s="5">
        <f>AVERAGE(F2:F4)</f>
        <v>11.475000000000003</v>
      </c>
      <c r="H2" s="5">
        <f>_xlfn.STDEV.P(F2:F4)</f>
        <v>8.4273904356897731</v>
      </c>
      <c r="I2">
        <f>(1-C2/$L$2)*100</f>
        <v>62.357014506727438</v>
      </c>
      <c r="J2" s="5">
        <f>AVERAGE(I2:I4)</f>
        <v>37.718587018451153</v>
      </c>
      <c r="K2" s="5">
        <f>_xlfn.STDEV.P(I2:I4)</f>
        <v>27.701024791897858</v>
      </c>
      <c r="L2">
        <f>D8</f>
        <v>30.422666666666668</v>
      </c>
      <c r="M2">
        <f>E8</f>
        <v>6.1862112440132204</v>
      </c>
      <c r="N2" t="s">
        <v>113</v>
      </c>
    </row>
    <row r="3" spans="1:14" x14ac:dyDescent="0.3">
      <c r="A3" s="23" t="s">
        <v>106</v>
      </c>
      <c r="B3" s="17">
        <v>10</v>
      </c>
      <c r="C3" s="17">
        <v>14.670999999999999</v>
      </c>
      <c r="F3">
        <f t="shared" ref="F3:F7" si="0">$L$2-C3</f>
        <v>15.751666666666669</v>
      </c>
      <c r="I3">
        <f t="shared" ref="I3:I7" si="1">(1-C3/$L$2)*100</f>
        <v>51.776088004558005</v>
      </c>
      <c r="L3">
        <f>D17</f>
        <v>24.262</v>
      </c>
      <c r="M3">
        <f>E17</f>
        <v>7.3857280390403357</v>
      </c>
      <c r="N3" t="s">
        <v>112</v>
      </c>
    </row>
    <row r="4" spans="1:14" x14ac:dyDescent="0.3">
      <c r="A4" s="23" t="s">
        <v>106</v>
      </c>
      <c r="B4" s="17">
        <v>25</v>
      </c>
      <c r="C4" s="17">
        <v>30.72</v>
      </c>
      <c r="F4">
        <f t="shared" si="0"/>
        <v>-0.29733333333333078</v>
      </c>
      <c r="I4">
        <f t="shared" si="1"/>
        <v>-0.9773414559319793</v>
      </c>
    </row>
    <row r="5" spans="1:14" x14ac:dyDescent="0.3">
      <c r="A5" s="23" t="s">
        <v>102</v>
      </c>
      <c r="B5" s="17">
        <v>3</v>
      </c>
      <c r="C5" s="17">
        <v>7.1509999999999998</v>
      </c>
      <c r="D5">
        <f>AVERAGE(C5:C7)</f>
        <v>11.609666666666667</v>
      </c>
      <c r="E5">
        <f>_xlfn.STDEV.P(C5:C7)</f>
        <v>3.8517425782220762</v>
      </c>
      <c r="F5">
        <f t="shared" si="0"/>
        <v>23.271666666666668</v>
      </c>
      <c r="G5" s="5">
        <f>AVERAGE(F5:F7)</f>
        <v>18.813000000000002</v>
      </c>
      <c r="H5" s="5">
        <v>8.4</v>
      </c>
      <c r="I5">
        <f t="shared" si="1"/>
        <v>76.494499715124689</v>
      </c>
      <c r="J5" s="5">
        <f>AVERAGE(I5:I7)</f>
        <v>61.838760573256785</v>
      </c>
      <c r="K5" s="5">
        <f>_xlfn.STDEV.P(I5:I7)</f>
        <v>12.660765804735798</v>
      </c>
    </row>
    <row r="6" spans="1:14" x14ac:dyDescent="0.3">
      <c r="A6" s="23" t="s">
        <v>102</v>
      </c>
      <c r="B6" s="17">
        <v>8</v>
      </c>
      <c r="C6" s="17">
        <v>11.129</v>
      </c>
      <c r="F6">
        <f t="shared" si="0"/>
        <v>19.293666666666667</v>
      </c>
      <c r="I6">
        <f t="shared" si="1"/>
        <v>63.41872288206163</v>
      </c>
    </row>
    <row r="7" spans="1:14" x14ac:dyDescent="0.3">
      <c r="A7" s="23" t="s">
        <v>102</v>
      </c>
      <c r="B7" s="17">
        <v>24</v>
      </c>
      <c r="C7" s="17">
        <v>16.548999999999999</v>
      </c>
      <c r="F7">
        <f t="shared" si="0"/>
        <v>13.873666666666669</v>
      </c>
      <c r="I7">
        <f t="shared" si="1"/>
        <v>45.603059122584042</v>
      </c>
    </row>
    <row r="8" spans="1:14" x14ac:dyDescent="0.3">
      <c r="A8" s="23" t="s">
        <v>153</v>
      </c>
      <c r="B8" s="17">
        <v>7</v>
      </c>
      <c r="C8" s="17">
        <v>21.690999999999999</v>
      </c>
      <c r="D8">
        <f>AVERAGE(C8:C10)</f>
        <v>30.422666666666668</v>
      </c>
      <c r="E8">
        <f>_xlfn.STDEV.P(C8:C10)</f>
        <v>6.1862112440132204</v>
      </c>
      <c r="F8" s="8"/>
      <c r="I8" s="8"/>
    </row>
    <row r="9" spans="1:14" x14ac:dyDescent="0.3">
      <c r="A9" s="23" t="s">
        <v>153</v>
      </c>
      <c r="B9" s="17">
        <v>18</v>
      </c>
      <c r="C9" s="17">
        <v>34.317</v>
      </c>
      <c r="F9" s="8"/>
      <c r="I9" s="8"/>
    </row>
    <row r="10" spans="1:14" x14ac:dyDescent="0.3">
      <c r="A10" s="23" t="s">
        <v>153</v>
      </c>
      <c r="B10" s="17">
        <v>26</v>
      </c>
      <c r="C10" s="17">
        <v>35.26</v>
      </c>
      <c r="F10" s="8"/>
      <c r="I10" s="8"/>
    </row>
    <row r="11" spans="1:14" x14ac:dyDescent="0.3">
      <c r="A11" s="23" t="s">
        <v>105</v>
      </c>
      <c r="B11" s="17">
        <v>6</v>
      </c>
      <c r="C11" s="17">
        <v>11.367000000000001</v>
      </c>
      <c r="D11">
        <f>AVERAGE(C11:C13)</f>
        <v>14.247666666666667</v>
      </c>
      <c r="E11">
        <f>_xlfn.STDEV.P(C11:C13)</f>
        <v>2.0742999354534604</v>
      </c>
      <c r="F11">
        <f>$L$3-C11</f>
        <v>12.895</v>
      </c>
      <c r="G11" s="5">
        <f>AVERAGE(F11:F13)</f>
        <v>10.014333333333333</v>
      </c>
      <c r="H11" s="5">
        <f>_xlfn.STDEV.P(F11:F13)</f>
        <v>2.0742999354534604</v>
      </c>
      <c r="I11">
        <f>(1-C11/$L$3)*100</f>
        <v>53.148957217047233</v>
      </c>
      <c r="J11" s="5">
        <f>AVERAGE(I11:I13)</f>
        <v>41.275794795702474</v>
      </c>
      <c r="K11" s="5">
        <f>_xlfn.STDEV.P(I11:I13)</f>
        <v>8.5495834451135799</v>
      </c>
    </row>
    <row r="12" spans="1:14" x14ac:dyDescent="0.3">
      <c r="A12" s="23" t="s">
        <v>105</v>
      </c>
      <c r="B12" s="17">
        <v>19</v>
      </c>
      <c r="C12" s="17">
        <v>16.167999999999999</v>
      </c>
      <c r="F12">
        <f t="shared" ref="F12:F16" si="2">$L$3-C12</f>
        <v>8.0940000000000012</v>
      </c>
      <c r="I12">
        <f t="shared" ref="I12:I16" si="3">(1-C12/$L$3)*100</f>
        <v>33.360811145000412</v>
      </c>
    </row>
    <row r="13" spans="1:14" x14ac:dyDescent="0.3">
      <c r="A13" s="23" t="s">
        <v>105</v>
      </c>
      <c r="B13" s="17">
        <v>22</v>
      </c>
      <c r="C13" s="17">
        <v>15.208</v>
      </c>
      <c r="F13">
        <f t="shared" si="2"/>
        <v>9.0540000000000003</v>
      </c>
      <c r="I13">
        <f t="shared" si="3"/>
        <v>37.317616025059763</v>
      </c>
    </row>
    <row r="14" spans="1:14" x14ac:dyDescent="0.3">
      <c r="A14" s="23" t="s">
        <v>104</v>
      </c>
      <c r="B14" s="17">
        <v>4</v>
      </c>
      <c r="C14" s="17">
        <v>6.0149999999999997</v>
      </c>
      <c r="D14">
        <f>AVERAGE(C14:C16)</f>
        <v>13.717666666666668</v>
      </c>
      <c r="E14">
        <f>_xlfn.STDEV.P(C14:C16)</f>
        <v>5.448634650585003</v>
      </c>
      <c r="F14">
        <f t="shared" si="2"/>
        <v>18.247</v>
      </c>
      <c r="G14" s="5">
        <f>AVERAGE(F14:F16)</f>
        <v>10.544333333333332</v>
      </c>
      <c r="H14" s="5">
        <f>_xlfn.STDEV.P(F14:F16)</f>
        <v>5.4486346505850056</v>
      </c>
      <c r="I14">
        <f t="shared" si="3"/>
        <v>75.208144423378116</v>
      </c>
      <c r="J14" s="5">
        <f>AVERAGE(I14:I16)</f>
        <v>43.46028082323523</v>
      </c>
      <c r="K14" s="5">
        <f>_xlfn.STDEV.P(I14:I16)</f>
        <v>22.457483515724189</v>
      </c>
    </row>
    <row r="15" spans="1:14" x14ac:dyDescent="0.3">
      <c r="A15" s="23" t="s">
        <v>104</v>
      </c>
      <c r="B15" s="17">
        <v>20</v>
      </c>
      <c r="C15" s="17">
        <v>17.387</v>
      </c>
      <c r="F15">
        <f t="shared" si="2"/>
        <v>6.875</v>
      </c>
      <c r="I15">
        <f t="shared" si="3"/>
        <v>28.336493281675047</v>
      </c>
    </row>
    <row r="16" spans="1:14" x14ac:dyDescent="0.3">
      <c r="A16" s="23" t="s">
        <v>104</v>
      </c>
      <c r="B16" s="17">
        <v>23</v>
      </c>
      <c r="C16" s="17">
        <v>17.751000000000001</v>
      </c>
      <c r="F16">
        <f t="shared" si="2"/>
        <v>6.5109999999999992</v>
      </c>
      <c r="I16">
        <f t="shared" si="3"/>
        <v>26.836204764652539</v>
      </c>
    </row>
    <row r="17" spans="1:9" x14ac:dyDescent="0.3">
      <c r="A17" s="23" t="s">
        <v>154</v>
      </c>
      <c r="B17" s="17">
        <v>5</v>
      </c>
      <c r="C17" s="17">
        <v>14.33</v>
      </c>
      <c r="D17">
        <f>AVERAGE(C17:C19)</f>
        <v>24.262</v>
      </c>
      <c r="E17">
        <f>_xlfn.STDEV.P(C17:C19)</f>
        <v>7.3857280390403357</v>
      </c>
      <c r="F17" s="8"/>
      <c r="I17" s="8"/>
    </row>
    <row r="18" spans="1:9" x14ac:dyDescent="0.3">
      <c r="A18" s="23" t="s">
        <v>154</v>
      </c>
      <c r="B18" s="17">
        <v>17</v>
      </c>
      <c r="C18" s="17">
        <v>26.428000000000001</v>
      </c>
      <c r="F18" s="8"/>
      <c r="I18" s="8"/>
    </row>
    <row r="19" spans="1:9" x14ac:dyDescent="0.3">
      <c r="A19" s="23" t="s">
        <v>154</v>
      </c>
      <c r="B19" s="17">
        <v>21</v>
      </c>
      <c r="C19" s="17">
        <v>32.027999999999999</v>
      </c>
      <c r="F19" s="8"/>
      <c r="I19" s="8"/>
    </row>
    <row r="20" spans="1:9" x14ac:dyDescent="0.3">
      <c r="A20" s="23" t="s">
        <v>103</v>
      </c>
      <c r="B20" s="17">
        <v>2</v>
      </c>
      <c r="C20" s="17">
        <v>14.442</v>
      </c>
      <c r="F20" s="8"/>
      <c r="I20" s="8"/>
    </row>
    <row r="21" spans="1:9" x14ac:dyDescent="0.3">
      <c r="A21" s="23" t="s">
        <v>103</v>
      </c>
      <c r="B21" s="17">
        <v>9</v>
      </c>
      <c r="C21" s="17">
        <v>17.861000000000001</v>
      </c>
      <c r="F21" s="8"/>
      <c r="I21" s="8"/>
    </row>
    <row r="22" spans="1:9" x14ac:dyDescent="0.3">
      <c r="F22" s="8"/>
      <c r="I22" s="8"/>
    </row>
    <row r="23" spans="1:9" x14ac:dyDescent="0.3">
      <c r="I2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6021E-4366-44E0-8D4A-E60863ADAE29}">
  <dimension ref="A1:M10"/>
  <sheetViews>
    <sheetView workbookViewId="0">
      <selection activeCell="I2" sqref="I2:I7"/>
    </sheetView>
  </sheetViews>
  <sheetFormatPr defaultRowHeight="14.4" x14ac:dyDescent="0.3"/>
  <sheetData>
    <row r="1" spans="1:13" ht="72" x14ac:dyDescent="0.3">
      <c r="A1" s="21" t="s">
        <v>110</v>
      </c>
      <c r="B1" s="21" t="s">
        <v>141</v>
      </c>
      <c r="C1" s="21" t="s">
        <v>109</v>
      </c>
      <c r="D1" s="21" t="s">
        <v>151</v>
      </c>
      <c r="E1" s="21" t="s">
        <v>145</v>
      </c>
      <c r="F1" s="21" t="s">
        <v>143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</row>
    <row r="2" spans="1:13" x14ac:dyDescent="0.3">
      <c r="A2" s="17">
        <v>11</v>
      </c>
      <c r="B2" s="17">
        <v>3.0259999999999998</v>
      </c>
      <c r="C2" s="17" t="s">
        <v>122</v>
      </c>
      <c r="D2" s="5">
        <f>AVERAGE(B2:B4)</f>
        <v>2.7189999999999999</v>
      </c>
      <c r="E2" s="5">
        <f>_xlfn.STDEV.P(B2:B4)</f>
        <v>0.6163489271508461</v>
      </c>
      <c r="F2" s="5">
        <f t="shared" ref="F2:F7" si="0">$L$2-B2</f>
        <v>1.4880000000000004</v>
      </c>
      <c r="G2" s="5">
        <f>AVERAGE(F2:F4)</f>
        <v>1.7950000000000006</v>
      </c>
      <c r="H2" s="5">
        <f>_xlfn.STDEV.P(F2:F4)</f>
        <v>0.61634892715084644</v>
      </c>
      <c r="I2">
        <f>(1-B2/$L$2)*100</f>
        <v>32.964111652636255</v>
      </c>
      <c r="J2" s="5">
        <f>AVERAGE(I2:I4)</f>
        <v>39.765175011076657</v>
      </c>
      <c r="K2" s="5">
        <f>_xlfn.STDEV.P(I2:I4)</f>
        <v>13.65416320670905</v>
      </c>
      <c r="L2" s="5">
        <f>AVERAGE(B8:B10)</f>
        <v>4.5140000000000002</v>
      </c>
      <c r="M2" s="5">
        <f>_xlfn.STDEV.P(B8:B10)</f>
        <v>1.2968430899688668</v>
      </c>
    </row>
    <row r="3" spans="1:13" x14ac:dyDescent="0.3">
      <c r="A3" s="17">
        <v>12</v>
      </c>
      <c r="B3" s="17">
        <v>3.2719999999999998</v>
      </c>
      <c r="C3" s="17" t="s">
        <v>122</v>
      </c>
      <c r="F3" s="5">
        <f t="shared" si="0"/>
        <v>1.2420000000000004</v>
      </c>
      <c r="I3">
        <f t="shared" ref="I3:I7" si="1">(1-B3/$L$2)*100</f>
        <v>27.514399645547194</v>
      </c>
    </row>
    <row r="4" spans="1:13" x14ac:dyDescent="0.3">
      <c r="A4" s="17">
        <v>17</v>
      </c>
      <c r="B4" s="17">
        <v>1.859</v>
      </c>
      <c r="C4" s="17" t="s">
        <v>122</v>
      </c>
      <c r="F4" s="5">
        <f t="shared" si="0"/>
        <v>2.6550000000000002</v>
      </c>
      <c r="I4">
        <f t="shared" si="1"/>
        <v>58.81701373504653</v>
      </c>
    </row>
    <row r="5" spans="1:13" x14ac:dyDescent="0.3">
      <c r="A5" s="17">
        <v>8</v>
      </c>
      <c r="B5" s="17">
        <v>3.5179999999999998</v>
      </c>
      <c r="C5" s="17" t="s">
        <v>123</v>
      </c>
      <c r="D5" s="5">
        <f>AVERAGE(B5:B7)</f>
        <v>2.5786666666666664</v>
      </c>
      <c r="E5" s="5">
        <f>_xlfn.STDEV.P(B5:B7)</f>
        <v>0.69932554809775194</v>
      </c>
      <c r="F5" s="5">
        <f t="shared" si="0"/>
        <v>0.99600000000000044</v>
      </c>
      <c r="G5" s="5">
        <f>AVERAGE(F5:F7)</f>
        <v>1.9353333333333336</v>
      </c>
      <c r="H5" s="5">
        <f>_xlfn.STDEV.P(F5:F7)</f>
        <v>0.69932554809775194</v>
      </c>
      <c r="I5">
        <f t="shared" si="1"/>
        <v>22.064687638458135</v>
      </c>
      <c r="J5" s="5">
        <f>AVERAGE(I5:I7)</f>
        <v>42.874021562546154</v>
      </c>
      <c r="K5" s="5">
        <f>_xlfn.STDEV.P(I5:I7)</f>
        <v>15.492369253383988</v>
      </c>
    </row>
    <row r="6" spans="1:13" x14ac:dyDescent="0.3">
      <c r="A6" s="17">
        <v>13</v>
      </c>
      <c r="B6" s="17">
        <v>1.841</v>
      </c>
      <c r="C6" s="17" t="s">
        <v>123</v>
      </c>
      <c r="F6" s="5">
        <f t="shared" si="0"/>
        <v>2.673</v>
      </c>
      <c r="I6">
        <f t="shared" si="1"/>
        <v>59.215773150199382</v>
      </c>
    </row>
    <row r="7" spans="1:13" x14ac:dyDescent="0.3">
      <c r="A7" s="17">
        <v>18</v>
      </c>
      <c r="B7" s="17">
        <v>2.3769999999999998</v>
      </c>
      <c r="C7" s="17" t="s">
        <v>123</v>
      </c>
      <c r="F7" s="5">
        <f t="shared" si="0"/>
        <v>2.1370000000000005</v>
      </c>
      <c r="I7">
        <f t="shared" si="1"/>
        <v>47.341603898980956</v>
      </c>
    </row>
    <row r="8" spans="1:13" x14ac:dyDescent="0.3">
      <c r="A8" s="17">
        <v>10</v>
      </c>
      <c r="B8" s="17">
        <v>5.1870000000000003</v>
      </c>
      <c r="C8" s="17" t="s">
        <v>125</v>
      </c>
    </row>
    <row r="9" spans="1:13" x14ac:dyDescent="0.3">
      <c r="A9" s="17">
        <v>14</v>
      </c>
      <c r="B9" s="22">
        <v>2.7</v>
      </c>
      <c r="C9" s="17" t="s">
        <v>125</v>
      </c>
    </row>
    <row r="10" spans="1:13" x14ac:dyDescent="0.3">
      <c r="A10" s="17">
        <v>15</v>
      </c>
      <c r="B10" s="17">
        <v>5.6550000000000002</v>
      </c>
      <c r="C10" s="17" t="s">
        <v>125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5624-4B84-4AAD-81A6-879EEC15CB26}">
  <dimension ref="A1:L10"/>
  <sheetViews>
    <sheetView workbookViewId="0">
      <selection sqref="A1:L11"/>
    </sheetView>
  </sheetViews>
  <sheetFormatPr defaultRowHeight="14.4" x14ac:dyDescent="0.3"/>
  <cols>
    <col min="1" max="1" width="8.88671875" customWidth="1"/>
    <col min="2" max="2" width="13.33203125" customWidth="1"/>
    <col min="3" max="3" width="8.88671875" customWidth="1"/>
    <col min="6" max="6" width="11.109375" customWidth="1"/>
    <col min="7" max="7" width="8.88671875" customWidth="1"/>
    <col min="9" max="9" width="11.109375" customWidth="1"/>
    <col min="10" max="10" width="10.5546875" customWidth="1"/>
  </cols>
  <sheetData>
    <row r="1" spans="1:12" ht="43.2" x14ac:dyDescent="0.3">
      <c r="A1" s="21" t="s">
        <v>109</v>
      </c>
      <c r="B1" s="21" t="s">
        <v>149</v>
      </c>
      <c r="C1" t="s">
        <v>151</v>
      </c>
      <c r="D1" t="s">
        <v>152</v>
      </c>
      <c r="E1" s="21" t="s">
        <v>143</v>
      </c>
      <c r="F1" s="21" t="s">
        <v>144</v>
      </c>
      <c r="G1" s="21" t="s">
        <v>145</v>
      </c>
      <c r="H1" s="21" t="s">
        <v>146</v>
      </c>
      <c r="I1" s="21" t="s">
        <v>144</v>
      </c>
      <c r="J1" s="21" t="s">
        <v>147</v>
      </c>
      <c r="K1" s="21" t="s">
        <v>142</v>
      </c>
      <c r="L1" s="21" t="s">
        <v>150</v>
      </c>
    </row>
    <row r="2" spans="1:12" x14ac:dyDescent="0.3">
      <c r="A2" s="17" t="s">
        <v>122</v>
      </c>
      <c r="B2" s="17">
        <v>10.289</v>
      </c>
      <c r="C2" s="5">
        <f>AVERAGE(B2:B4)</f>
        <v>9.870333333333333</v>
      </c>
      <c r="D2" s="5">
        <f>_xlfn.STDEV.P(B2:B4)</f>
        <v>1.5705163340620134</v>
      </c>
      <c r="E2" s="5">
        <f t="shared" ref="E2:E7" si="0">ABS(B2-$K$2)</f>
        <v>5.1220000000000017</v>
      </c>
      <c r="F2" s="5">
        <f>AVERAGE(E2:E4)</f>
        <v>5.5406666666666675</v>
      </c>
      <c r="G2" s="5">
        <f>_xlfn.STDEV.P(E2:E4)</f>
        <v>1.5705163340620054</v>
      </c>
      <c r="H2">
        <f>(1-(B2/$K$2))*100</f>
        <v>33.236000259554878</v>
      </c>
      <c r="I2" s="5">
        <f>AVERAGE(H2:H4)</f>
        <v>35.952674496571717</v>
      </c>
      <c r="J2" s="5">
        <f>_xlfn.STDEV.P(H2:H4)</f>
        <v>10.190878814236624</v>
      </c>
      <c r="K2" s="5">
        <f>AVERAGE(B8:B10)</f>
        <v>15.411000000000001</v>
      </c>
      <c r="L2" s="5">
        <f>_xlfn.STDEV.P(B8:B10)</f>
        <v>0.66911932169581478</v>
      </c>
    </row>
    <row r="3" spans="1:12" x14ac:dyDescent="0.3">
      <c r="A3" s="17" t="s">
        <v>122</v>
      </c>
      <c r="B3" s="17">
        <v>11.55</v>
      </c>
      <c r="E3" s="5">
        <f t="shared" si="0"/>
        <v>3.8610000000000007</v>
      </c>
      <c r="H3">
        <f t="shared" ref="H3:H7" si="1">(1-(B3/$K$2))*100</f>
        <v>25.053533190578158</v>
      </c>
    </row>
    <row r="4" spans="1:12" x14ac:dyDescent="0.3">
      <c r="A4" s="17" t="s">
        <v>122</v>
      </c>
      <c r="B4" s="17">
        <v>7.7720000000000002</v>
      </c>
      <c r="E4" s="5">
        <f t="shared" si="0"/>
        <v>7.6390000000000011</v>
      </c>
      <c r="H4">
        <f t="shared" si="1"/>
        <v>49.568490039582123</v>
      </c>
    </row>
    <row r="5" spans="1:12" x14ac:dyDescent="0.3">
      <c r="A5" s="17" t="s">
        <v>123</v>
      </c>
      <c r="B5" s="17">
        <v>7.1459999999999999</v>
      </c>
      <c r="C5" s="5">
        <f>AVERAGE(B5:B7)</f>
        <v>9.870333333333333</v>
      </c>
      <c r="D5" s="5">
        <f>_xlfn.STDEV.P(B5:B7)</f>
        <v>1.9375696689983146</v>
      </c>
      <c r="E5" s="5">
        <f t="shared" si="0"/>
        <v>8.2650000000000006</v>
      </c>
      <c r="F5" s="5">
        <f>(AVERAGE(E5:E7))</f>
        <v>5.5406666666666675</v>
      </c>
      <c r="G5" s="5">
        <f>_xlfn.STDEV.P(E5:E7)</f>
        <v>1.9375696689983082</v>
      </c>
      <c r="H5">
        <f t="shared" si="1"/>
        <v>53.630523651936933</v>
      </c>
      <c r="I5" s="5">
        <f>AVERAGE(H5:H7)</f>
        <v>35.952674496571724</v>
      </c>
      <c r="J5" s="5">
        <f>_xlfn.STDEV.P(H5:H7)</f>
        <v>12.572640769569198</v>
      </c>
    </row>
    <row r="6" spans="1:12" x14ac:dyDescent="0.3">
      <c r="A6" s="17" t="s">
        <v>123</v>
      </c>
      <c r="B6" s="17">
        <v>11.487</v>
      </c>
      <c r="E6" s="5">
        <f t="shared" si="0"/>
        <v>3.9240000000000013</v>
      </c>
      <c r="H6">
        <f t="shared" si="1"/>
        <v>25.462332100447739</v>
      </c>
    </row>
    <row r="7" spans="1:12" x14ac:dyDescent="0.3">
      <c r="A7" s="17" t="s">
        <v>123</v>
      </c>
      <c r="B7" s="17">
        <v>10.978</v>
      </c>
      <c r="E7" s="5">
        <f t="shared" si="0"/>
        <v>4.4330000000000016</v>
      </c>
      <c r="H7">
        <f t="shared" si="1"/>
        <v>28.765167737330486</v>
      </c>
    </row>
    <row r="8" spans="1:12" x14ac:dyDescent="0.3">
      <c r="A8" s="17" t="s">
        <v>125</v>
      </c>
      <c r="B8" s="17">
        <v>14.592000000000001</v>
      </c>
      <c r="C8" s="5"/>
      <c r="D8" s="17"/>
    </row>
    <row r="9" spans="1:12" x14ac:dyDescent="0.3">
      <c r="A9" s="17" t="s">
        <v>125</v>
      </c>
      <c r="B9" s="17">
        <v>16.231000000000002</v>
      </c>
      <c r="C9" s="5"/>
      <c r="D9" s="17"/>
    </row>
    <row r="10" spans="1:12" x14ac:dyDescent="0.3">
      <c r="A10" s="17" t="s">
        <v>125</v>
      </c>
      <c r="B10" s="17">
        <v>15.41</v>
      </c>
      <c r="C10" s="5"/>
      <c r="D10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F3082-212A-4C06-84C5-42D2586C1A2A}">
  <dimension ref="A1:L10"/>
  <sheetViews>
    <sheetView tabSelected="1" workbookViewId="0">
      <selection activeCell="K2" sqref="K2"/>
    </sheetView>
  </sheetViews>
  <sheetFormatPr defaultRowHeight="14.4" x14ac:dyDescent="0.3"/>
  <sheetData>
    <row r="1" spans="1:12" ht="57.6" x14ac:dyDescent="0.3">
      <c r="A1" s="21" t="s">
        <v>109</v>
      </c>
      <c r="B1" s="21" t="s">
        <v>149</v>
      </c>
      <c r="C1" t="s">
        <v>151</v>
      </c>
      <c r="D1" t="s">
        <v>152</v>
      </c>
      <c r="E1" s="21" t="s">
        <v>143</v>
      </c>
      <c r="F1" s="21" t="s">
        <v>144</v>
      </c>
      <c r="G1" s="21" t="s">
        <v>145</v>
      </c>
      <c r="H1" s="21" t="s">
        <v>146</v>
      </c>
      <c r="I1" s="21" t="s">
        <v>144</v>
      </c>
      <c r="J1" s="21" t="s">
        <v>147</v>
      </c>
      <c r="K1" s="21" t="s">
        <v>142</v>
      </c>
      <c r="L1" s="21" t="s">
        <v>150</v>
      </c>
    </row>
    <row r="2" spans="1:12" x14ac:dyDescent="0.3">
      <c r="A2" s="17" t="s">
        <v>122</v>
      </c>
      <c r="B2" s="17">
        <v>10.294</v>
      </c>
      <c r="C2" s="5">
        <f>AVERAGE(B2:B4)</f>
        <v>9.9123333333333346</v>
      </c>
      <c r="D2" s="5">
        <f>_xlfn.STDEV.P(B2:B4)</f>
        <v>1.6619916432468045</v>
      </c>
      <c r="E2" s="5">
        <f t="shared" ref="E2:E7" si="0">ABS(B2-$K$2)</f>
        <v>6.7076666666666647</v>
      </c>
      <c r="F2" s="5">
        <f>AVERAGE(E2:E4)</f>
        <v>7.0893333333333315</v>
      </c>
      <c r="G2" s="5">
        <f>_xlfn.STDEV.P(E2:E4)</f>
        <v>1.6619916432468085</v>
      </c>
      <c r="H2">
        <f>(1-(B2/$K$2))*100</f>
        <v>39.452994804430929</v>
      </c>
      <c r="I2" s="5">
        <f>AVERAGE(H2:H4)</f>
        <v>41.697872757572775</v>
      </c>
      <c r="J2" s="5">
        <f>_xlfn.STDEV.P(H2:H4)</f>
        <v>9.7754630521329702</v>
      </c>
      <c r="K2" s="7">
        <f>AVERAGE(B8:B10)</f>
        <v>17.001666666666665</v>
      </c>
      <c r="L2" s="5">
        <f>_xlfn.STDEV.P(B8:B10)</f>
        <v>1.0608629610945155</v>
      </c>
    </row>
    <row r="3" spans="1:12" x14ac:dyDescent="0.3">
      <c r="A3" s="17" t="s">
        <v>122</v>
      </c>
      <c r="B3" s="22">
        <v>11.73</v>
      </c>
      <c r="E3" s="5">
        <f t="shared" si="0"/>
        <v>5.2716666666666647</v>
      </c>
      <c r="H3">
        <f t="shared" ref="H3:H7" si="1">(1-(B3/$K$2))*100</f>
        <v>31.006764042740897</v>
      </c>
    </row>
    <row r="4" spans="1:12" x14ac:dyDescent="0.3">
      <c r="A4" s="17" t="s">
        <v>122</v>
      </c>
      <c r="B4" s="17">
        <v>7.7130000000000001</v>
      </c>
      <c r="E4" s="5">
        <f t="shared" si="0"/>
        <v>9.2886666666666642</v>
      </c>
      <c r="H4">
        <f t="shared" si="1"/>
        <v>54.633859425546504</v>
      </c>
    </row>
    <row r="5" spans="1:12" x14ac:dyDescent="0.3">
      <c r="A5" s="17" t="s">
        <v>123</v>
      </c>
      <c r="B5" s="17">
        <v>7.2069999999999999</v>
      </c>
      <c r="C5" s="5">
        <f>AVERAGE(B5:B7)</f>
        <v>10.052333333333332</v>
      </c>
      <c r="D5" s="5">
        <f>_xlfn.STDEV.P(B5:B7)</f>
        <v>2.0245357218110271</v>
      </c>
      <c r="E5" s="5">
        <f t="shared" si="0"/>
        <v>9.7946666666666644</v>
      </c>
      <c r="F5" s="5">
        <f>(AVERAGE(E5:E7))</f>
        <v>6.9493333333333318</v>
      </c>
      <c r="G5" s="5">
        <f>_xlfn.STDEV.P(E5:E7)</f>
        <v>2.024535721811024</v>
      </c>
      <c r="H5">
        <f t="shared" si="1"/>
        <v>57.610038231545921</v>
      </c>
      <c r="I5" s="5">
        <f>AVERAGE(H5:H7)</f>
        <v>40.874424076070973</v>
      </c>
      <c r="J5" s="5">
        <f>_xlfn.STDEV.P(H5:H7)</f>
        <v>11.907866219847213</v>
      </c>
    </row>
    <row r="6" spans="1:12" x14ac:dyDescent="0.3">
      <c r="A6" s="17" t="s">
        <v>123</v>
      </c>
      <c r="B6" s="17">
        <v>11.750999999999999</v>
      </c>
      <c r="E6" s="5">
        <f t="shared" si="0"/>
        <v>5.2506666666666657</v>
      </c>
      <c r="H6">
        <f t="shared" si="1"/>
        <v>30.883246740515634</v>
      </c>
    </row>
    <row r="7" spans="1:12" x14ac:dyDescent="0.3">
      <c r="A7" s="17" t="s">
        <v>123</v>
      </c>
      <c r="B7" s="17">
        <v>11.199</v>
      </c>
      <c r="E7" s="5">
        <f t="shared" si="0"/>
        <v>5.8026666666666653</v>
      </c>
      <c r="H7">
        <f t="shared" si="1"/>
        <v>34.129987256151352</v>
      </c>
    </row>
    <row r="8" spans="1:12" x14ac:dyDescent="0.3">
      <c r="A8" s="17" t="s">
        <v>125</v>
      </c>
      <c r="B8" s="17">
        <v>15.789</v>
      </c>
      <c r="C8" s="5"/>
      <c r="D8" s="17"/>
    </row>
    <row r="9" spans="1:12" x14ac:dyDescent="0.3">
      <c r="A9" s="17" t="s">
        <v>125</v>
      </c>
      <c r="B9" s="17">
        <v>18.373000000000001</v>
      </c>
      <c r="C9" s="5"/>
      <c r="D9" s="17"/>
    </row>
    <row r="10" spans="1:12" x14ac:dyDescent="0.3">
      <c r="A10" s="17" t="s">
        <v>125</v>
      </c>
      <c r="B10" s="17">
        <v>16.843</v>
      </c>
      <c r="C10" s="5"/>
      <c r="D1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LabInital</vt:lpstr>
      <vt:lpstr>LabPig</vt:lpstr>
      <vt:lpstr>LabCattle2</vt:lpstr>
      <vt:lpstr>FieldPig</vt:lpstr>
      <vt:lpstr>FieldCattle</vt:lpstr>
      <vt:lpstr>FieldCattleExtrap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2026-05-20T12:32:01Z</dcterms:modified>
</cp:coreProperties>
</file>