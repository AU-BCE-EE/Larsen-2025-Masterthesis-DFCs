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SOP's-and-procols\"/>
    </mc:Choice>
  </mc:AlternateContent>
  <xr:revisionPtr revIDLastSave="0" documentId="13_ncr:1_{EFF6CC5C-D3B2-42E1-852C-0F98402DD4EB}" xr6:coauthVersionLast="47" xr6:coauthVersionMax="47" xr10:uidLastSave="{00000000-0000-0000-0000-000000000000}"/>
  <bookViews>
    <workbookView xWindow="-108" yWindow="-108" windowWidth="23256" windowHeight="12456" xr2:uid="{638C3419-034B-4138-ADE6-5399D2E988F8}"/>
  </bookViews>
  <sheets>
    <sheet name="Tab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17" i="3"/>
  <c r="J14" i="3"/>
  <c r="J15" i="3"/>
  <c r="J16" i="3"/>
  <c r="J13" i="3"/>
  <c r="J7" i="3"/>
  <c r="J4" i="3"/>
  <c r="J5" i="3"/>
  <c r="J6" i="3"/>
</calcChain>
</file>

<file path=xl/sharedStrings.xml><?xml version="1.0" encoding="utf-8"?>
<sst xmlns="http://schemas.openxmlformats.org/spreadsheetml/2006/main" count="31" uniqueCount="18">
  <si>
    <t xml:space="preserve"> Date (Sample collection)</t>
  </si>
  <si>
    <t xml:space="preserve"> Date (measurement)</t>
  </si>
  <si>
    <t>Sample ID</t>
  </si>
  <si>
    <t>NH4-N (mg/L)</t>
  </si>
  <si>
    <t>1- Biogas Digestate_Vrejlev (BGD)</t>
  </si>
  <si>
    <t>2- Screw Press Fiber (SPF)</t>
  </si>
  <si>
    <t>Tow steps separation: Screw press and Decanter centrifuge_Vrejlev</t>
  </si>
  <si>
    <t>3- Screw Press Liquid (SPL)</t>
  </si>
  <si>
    <t>4- Decanter Centrifuge Fiber (DCF)</t>
  </si>
  <si>
    <t>5- Decanter Centrifuge Liquid (DCL)</t>
  </si>
  <si>
    <t>Tow steps separation: Screw press and Decanter centrifuge_Vrejlev  (Powder used for CHNS)</t>
  </si>
  <si>
    <t>NH4-N (g wet sample/L)</t>
  </si>
  <si>
    <t>NH4-N (g dry sample/L)</t>
  </si>
  <si>
    <t>DF</t>
  </si>
  <si>
    <t>Required Weight (g)</t>
  </si>
  <si>
    <t>Measured Weight (g)</t>
  </si>
  <si>
    <t>Milli-Q (mL)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</si>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</sst>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1" fillId="3" borderId="0" xfId="0" applyNumberFormat="1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E431-C283-430F-961F-CB79B106269A}">
  <dimension ref="B1:K17"/>
  <sheetViews>
    <sheetView tabSelected="1" zoomScale="80" zoomScaleNormal="80" workbookViewId="0">
      <selection activeCell="J4" sqref="J4"/>
    </sheetView>
  </sheetViews>
  <sheetFormatPr defaultRowHeight="14.4" x14ac:dyDescent="0.3"/>
  <cols>
    <col min="1" max="1" width="8.88671875" style="13"/>
    <col min="2" max="2" width="22.21875" style="13" customWidth="1"/>
    <col min="3" max="3" width="19" style="13" customWidth="1"/>
    <col min="4" max="4" width="37.77734375" style="13" customWidth="1"/>
    <col min="5" max="5" width="19" style="13" customWidth="1"/>
    <col min="6" max="6" width="21.33203125" style="13" customWidth="1"/>
    <col min="7" max="7" width="15.6640625" style="13" customWidth="1"/>
    <col min="8" max="8" width="15" style="13" customWidth="1"/>
    <col min="9" max="9" width="15.6640625" style="13" customWidth="1"/>
    <col min="10" max="10" width="23.5546875" style="13" customWidth="1"/>
    <col min="11" max="16384" width="8.88671875" style="13"/>
  </cols>
  <sheetData>
    <row r="1" spans="2:11" ht="18" x14ac:dyDescent="0.3">
      <c r="B1" s="24" t="s">
        <v>6</v>
      </c>
      <c r="C1" s="24"/>
      <c r="D1" s="24"/>
      <c r="E1" s="24"/>
      <c r="F1" s="24"/>
      <c r="G1" s="24"/>
      <c r="H1" s="24"/>
      <c r="I1" s="24"/>
      <c r="J1" s="24"/>
    </row>
    <row r="2" spans="2:11" x14ac:dyDescent="0.3">
      <c r="B2" s="3" t="s">
        <v>0</v>
      </c>
      <c r="C2" s="3" t="s">
        <v>1</v>
      </c>
      <c r="D2" s="3" t="s">
        <v>2</v>
      </c>
      <c r="E2" s="3" t="s">
        <v>14</v>
      </c>
      <c r="F2" s="3" t="s">
        <v>15</v>
      </c>
      <c r="G2" s="6" t="s">
        <v>16</v>
      </c>
      <c r="H2" s="6" t="s">
        <v>13</v>
      </c>
      <c r="I2" s="6" t="s">
        <v>3</v>
      </c>
      <c r="J2" s="4" t="s">
        <v>11</v>
      </c>
    </row>
    <row r="3" spans="2:11" x14ac:dyDescent="0.3">
      <c r="B3" s="5">
        <v>45735</v>
      </c>
      <c r="C3" s="5">
        <v>45747</v>
      </c>
      <c r="D3" s="22" t="s">
        <v>4</v>
      </c>
      <c r="E3" s="14">
        <v>1</v>
      </c>
      <c r="F3" s="1">
        <v>1</v>
      </c>
      <c r="G3" s="1">
        <v>49</v>
      </c>
      <c r="H3" s="16">
        <v>50</v>
      </c>
      <c r="I3" s="10">
        <v>43</v>
      </c>
      <c r="J3" s="8">
        <f>((E3*H3*I3)/F3)/1000</f>
        <v>2.15</v>
      </c>
    </row>
    <row r="4" spans="2:11" x14ac:dyDescent="0.3">
      <c r="B4" s="5">
        <v>45735</v>
      </c>
      <c r="C4" s="5">
        <v>45747</v>
      </c>
      <c r="D4" s="22" t="s">
        <v>5</v>
      </c>
      <c r="E4" s="14">
        <v>1</v>
      </c>
      <c r="F4" s="1">
        <v>1.004</v>
      </c>
      <c r="G4" s="1">
        <v>49</v>
      </c>
      <c r="H4" s="16">
        <v>50</v>
      </c>
      <c r="I4" s="10">
        <v>36</v>
      </c>
      <c r="J4" s="8">
        <f t="shared" ref="J4:J6" si="0">((E4*H4*I4)/F4)/1000</f>
        <v>1.7928286852589643</v>
      </c>
    </row>
    <row r="5" spans="2:11" x14ac:dyDescent="0.3">
      <c r="B5" s="5">
        <v>45742</v>
      </c>
      <c r="C5" s="5">
        <v>45747</v>
      </c>
      <c r="D5" s="22" t="s">
        <v>7</v>
      </c>
      <c r="E5" s="14">
        <v>1</v>
      </c>
      <c r="F5" s="1">
        <v>1.006</v>
      </c>
      <c r="G5" s="1">
        <v>49</v>
      </c>
      <c r="H5" s="16">
        <v>50</v>
      </c>
      <c r="I5" s="10">
        <v>48</v>
      </c>
      <c r="J5" s="8">
        <f t="shared" si="0"/>
        <v>2.3856858846918492</v>
      </c>
    </row>
    <row r="6" spans="2:11" x14ac:dyDescent="0.3">
      <c r="B6" s="5">
        <v>45742</v>
      </c>
      <c r="C6" s="5">
        <v>45747</v>
      </c>
      <c r="D6" s="22" t="s">
        <v>8</v>
      </c>
      <c r="E6" s="14">
        <v>1</v>
      </c>
      <c r="F6" s="1">
        <v>0.995</v>
      </c>
      <c r="G6" s="1">
        <v>49</v>
      </c>
      <c r="H6" s="16">
        <v>50</v>
      </c>
      <c r="I6" s="10">
        <v>48</v>
      </c>
      <c r="J6" s="8">
        <f t="shared" si="0"/>
        <v>2.4120603015075375</v>
      </c>
    </row>
    <row r="7" spans="2:11" x14ac:dyDescent="0.3">
      <c r="B7" s="7">
        <v>45742</v>
      </c>
      <c r="C7" s="7">
        <v>45747</v>
      </c>
      <c r="D7" s="23" t="s">
        <v>9</v>
      </c>
      <c r="E7" s="15">
        <v>1</v>
      </c>
      <c r="F7" s="2">
        <v>1.016</v>
      </c>
      <c r="G7" s="2">
        <v>49</v>
      </c>
      <c r="H7" s="17">
        <v>50</v>
      </c>
      <c r="I7" s="11">
        <v>52</v>
      </c>
      <c r="J7" s="9">
        <f>((E7*H7*I7)/F7)/1000</f>
        <v>2.5590551181102361</v>
      </c>
    </row>
    <row r="8" spans="2:11" x14ac:dyDescent="0.3">
      <c r="B8" s="5"/>
      <c r="C8" s="5"/>
      <c r="F8" s="1"/>
      <c r="G8" s="1"/>
      <c r="H8" s="1"/>
      <c r="I8" s="10"/>
      <c r="J8" s="1"/>
    </row>
    <row r="9" spans="2:11" x14ac:dyDescent="0.3">
      <c r="B9" s="5"/>
      <c r="C9" s="5"/>
      <c r="E9" s="12"/>
      <c r="F9" s="12"/>
      <c r="G9" s="12"/>
      <c r="H9" s="1"/>
      <c r="I9" s="10"/>
      <c r="J9" s="1"/>
    </row>
    <row r="10" spans="2:11" x14ac:dyDescent="0.3">
      <c r="B10" s="5"/>
      <c r="C10" s="5"/>
      <c r="F10" s="1"/>
      <c r="G10" s="1"/>
      <c r="H10" s="1"/>
      <c r="I10" s="10"/>
      <c r="J10" s="1"/>
    </row>
    <row r="11" spans="2:11" ht="18" x14ac:dyDescent="0.3">
      <c r="B11" s="20" t="s">
        <v>10</v>
      </c>
      <c r="C11" s="20"/>
      <c r="D11" s="20"/>
      <c r="E11" s="20"/>
      <c r="F11" s="20"/>
      <c r="G11" s="20"/>
      <c r="H11" s="20"/>
      <c r="I11" s="20"/>
      <c r="J11" s="21" t="s">
        <v>17</v>
      </c>
    </row>
    <row r="12" spans="2:11" x14ac:dyDescent="0.3">
      <c r="B12" s="3" t="s">
        <v>0</v>
      </c>
      <c r="C12" s="3" t="s">
        <v>1</v>
      </c>
      <c r="D12" s="3" t="s">
        <v>2</v>
      </c>
      <c r="E12" s="3" t="s">
        <v>14</v>
      </c>
      <c r="F12" s="3" t="s">
        <v>15</v>
      </c>
      <c r="G12" s="6" t="s">
        <v>16</v>
      </c>
      <c r="H12" s="6" t="s">
        <v>13</v>
      </c>
      <c r="I12" s="6" t="s">
        <v>3</v>
      </c>
      <c r="J12" s="4" t="s">
        <v>12</v>
      </c>
    </row>
    <row r="13" spans="2:11" x14ac:dyDescent="0.3">
      <c r="B13" s="5">
        <v>45735</v>
      </c>
      <c r="C13" s="5">
        <v>45783</v>
      </c>
      <c r="D13" s="22" t="s">
        <v>4</v>
      </c>
      <c r="E13" s="18">
        <v>0.2</v>
      </c>
      <c r="F13" s="1">
        <v>0.20300000000000001</v>
      </c>
      <c r="G13" s="1">
        <v>1.8</v>
      </c>
      <c r="H13" s="16">
        <v>10</v>
      </c>
      <c r="I13" s="10">
        <v>11</v>
      </c>
      <c r="J13" s="8">
        <f>((E13*H13*I13)/F13)/1000</f>
        <v>0.10837438423645319</v>
      </c>
      <c r="K13" s="1"/>
    </row>
    <row r="14" spans="2:11" x14ac:dyDescent="0.3">
      <c r="B14" s="5">
        <v>45735</v>
      </c>
      <c r="C14" s="5">
        <v>45783</v>
      </c>
      <c r="D14" s="22" t="s">
        <v>5</v>
      </c>
      <c r="E14" s="18">
        <v>0.2</v>
      </c>
      <c r="F14" s="1">
        <v>0.20100000000000001</v>
      </c>
      <c r="G14" s="1">
        <v>1.8</v>
      </c>
      <c r="H14" s="16">
        <v>10</v>
      </c>
      <c r="I14" s="10">
        <v>22</v>
      </c>
      <c r="J14" s="8">
        <f t="shared" ref="J14:J16" si="1">((E14*H14*I14)/F14)/1000</f>
        <v>0.21890547263681592</v>
      </c>
      <c r="K14" s="1"/>
    </row>
    <row r="15" spans="2:11" x14ac:dyDescent="0.3">
      <c r="B15" s="5">
        <v>45742</v>
      </c>
      <c r="C15" s="5">
        <v>45783</v>
      </c>
      <c r="D15" s="22" t="s">
        <v>7</v>
      </c>
      <c r="E15" s="18">
        <v>0.2</v>
      </c>
      <c r="F15" s="1">
        <v>0.20499999999999999</v>
      </c>
      <c r="G15" s="1">
        <v>1.8</v>
      </c>
      <c r="H15" s="16">
        <v>10</v>
      </c>
      <c r="I15" s="10">
        <v>18</v>
      </c>
      <c r="J15" s="8">
        <f t="shared" si="1"/>
        <v>0.17560975609756099</v>
      </c>
      <c r="K15" s="1"/>
    </row>
    <row r="16" spans="2:11" x14ac:dyDescent="0.3">
      <c r="B16" s="5">
        <v>45742</v>
      </c>
      <c r="C16" s="5">
        <v>45783</v>
      </c>
      <c r="D16" s="22" t="s">
        <v>8</v>
      </c>
      <c r="E16" s="18">
        <v>0.2</v>
      </c>
      <c r="F16" s="1">
        <v>0.20200000000000001</v>
      </c>
      <c r="G16" s="1">
        <v>3.8</v>
      </c>
      <c r="H16" s="16">
        <v>20</v>
      </c>
      <c r="I16" s="10">
        <v>31</v>
      </c>
      <c r="J16" s="8">
        <f t="shared" si="1"/>
        <v>0.61386138613861385</v>
      </c>
      <c r="K16" s="1"/>
    </row>
    <row r="17" spans="2:11" x14ac:dyDescent="0.3">
      <c r="B17" s="7">
        <v>45742</v>
      </c>
      <c r="C17" s="7">
        <v>45783</v>
      </c>
      <c r="D17" s="23" t="s">
        <v>9</v>
      </c>
      <c r="E17" s="19">
        <v>0.2</v>
      </c>
      <c r="F17" s="2">
        <v>0.20799999999999999</v>
      </c>
      <c r="G17" s="2">
        <v>1.8</v>
      </c>
      <c r="H17" s="17">
        <v>10</v>
      </c>
      <c r="I17" s="11">
        <v>8</v>
      </c>
      <c r="J17" s="9">
        <f>((E17*H17*I17)/F17)/1000</f>
        <v>7.6923076923076913E-2</v>
      </c>
      <c r="K17" s="1"/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Dorthe Grøntkjær Pedersen</dc:creator>
  <cp:lastModifiedBy>Mikael Løvig Larsen</cp:lastModifiedBy>
  <dcterms:created xsi:type="dcterms:W3CDTF">2023-12-14T06:41:45Z</dcterms:created>
  <dcterms:modified xsi:type="dcterms:W3CDTF">2026-01-08T09:59:25Z</dcterms:modified>
</cp:coreProperties>
</file>