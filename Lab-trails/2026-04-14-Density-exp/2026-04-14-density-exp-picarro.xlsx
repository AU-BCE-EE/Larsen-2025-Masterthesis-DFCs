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0C4BDA01-FDBC-4AA5-8967-A146874D0B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K3" i="1"/>
  <c r="L3" i="1" s="1"/>
  <c r="K4" i="1"/>
  <c r="L4" i="1" s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L24" i="1" s="1"/>
  <c r="K25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L22" i="1" s="1"/>
  <c r="H23" i="1"/>
  <c r="H24" i="1"/>
  <c r="H25" i="1"/>
  <c r="H2" i="1"/>
  <c r="L23" i="1" l="1"/>
  <c r="L7" i="1"/>
  <c r="L14" i="1"/>
  <c r="L13" i="1"/>
  <c r="L20" i="1"/>
  <c r="L2" i="1"/>
  <c r="L10" i="1"/>
  <c r="L25" i="1"/>
  <c r="L17" i="1"/>
  <c r="L9" i="1"/>
  <c r="L15" i="1"/>
  <c r="L6" i="1"/>
  <c r="L21" i="1"/>
  <c r="L12" i="1"/>
  <c r="L19" i="1"/>
  <c r="L11" i="1"/>
  <c r="L18" i="1"/>
  <c r="L16" i="1"/>
  <c r="L8" i="1"/>
  <c r="L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tc={7AD64863-29D3-4A3A-9CB4-FF995EA1C8F1}</author>
    <author>tc={9ADA5EE6-9A05-4588-AEE1-6BA3F17D6A75}</author>
    <author>tc={BF11EDF2-477B-4F80-B063-70EFE97B9D08}</author>
    <author>tc={C3A4F254-8AF7-4ABB-8EB5-C1032E8DF48D}</author>
  </authors>
  <commentList>
    <comment ref="F1" authorId="0" shapeId="0" xr:uid="{7AD64863-29D3-4A3A-9CB4-FF995EA1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liters per minute</t>
      </text>
    </comment>
    <comment ref="M2" authorId="1" shapeId="0" xr:uid="{9ADA5EE6-9A05-4588-AEE1-6BA3F17D6A75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timeframe as picarro 2 h delay in compared to real time, sommertime?</t>
      </text>
    </comment>
    <comment ref="N2" authorId="2" shapeId="0" xr:uid="{BF11EDF2-477B-4F80-B063-70EFE97B9D0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cyckle aprox 50 minite past this</t>
      </text>
    </comment>
    <comment ref="D5" authorId="3" shapeId="0" xr:uid="{C3A4F254-8AF7-4ABB-8EB5-C1032E8DF48D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Samples are blocked, then randomized within the blocks</t>
      </text>
    </comment>
  </commentList>
</comments>
</file>

<file path=xl/sharedStrings.xml><?xml version="1.0" encoding="utf-8"?>
<sst xmlns="http://schemas.openxmlformats.org/spreadsheetml/2006/main" count="43" uniqueCount="20">
  <si>
    <t>Valve code</t>
  </si>
  <si>
    <t>Rot. Valve code</t>
  </si>
  <si>
    <t>Jar ID</t>
  </si>
  <si>
    <t>Treatment</t>
  </si>
  <si>
    <t>m sample[g]</t>
  </si>
  <si>
    <t>startdate</t>
  </si>
  <si>
    <t>Q sample start [SL/min]</t>
  </si>
  <si>
    <t>Q Bypass start [SL/min]</t>
  </si>
  <si>
    <t>Q sample end [SL/min]</t>
  </si>
  <si>
    <t>Q  Bypass end [SL/min]</t>
  </si>
  <si>
    <t>enddate</t>
  </si>
  <si>
    <t>Background</t>
  </si>
  <si>
    <t>LD</t>
  </si>
  <si>
    <t>HD</t>
  </si>
  <si>
    <t>F</t>
  </si>
  <si>
    <t>HD_STD</t>
  </si>
  <si>
    <t>Qsum_start [SL/min]</t>
  </si>
  <si>
    <t>Qsum_end</t>
  </si>
  <si>
    <t>Qmean [SL/min]</t>
  </si>
  <si>
    <t>2026-04-14-08:02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</si>
</sst>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20" fontId="0" fillId="0" borderId="0" xfId="0" applyNumberFormat="1"/>
    <xf numFmtId="1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1" fillId="2" borderId="0" xfId="0" applyFont="1" applyFill="1"/>
    <xf numFmtId="164" fontId="1" fillId="2" borderId="0" xfId="0" applyNumberFormat="1" applyFont="1" applyFill="1"/>
    <xf numFmtId="0" fontId="0" fillId="3" borderId="0" xfId="0" applyFill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CB8B1872-E8E1-48AA-8172-37FB038FBF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12T10:45:59.68" personId="{CB8B1872-E8E1-48AA-8172-37FB038FBF21}" id="{7AD64863-29D3-4A3A-9CB4-FF995EA1C8F1}">
    <text>Standard liters per minute</text>
  </threadedComment>
  <threadedComment ref="M2" dT="2026-04-15T09:34:47.80" personId="{CB8B1872-E8E1-48AA-8172-37FB038FBF21}" id="{9ADA5EE6-9A05-4588-AEE1-6BA3F17D6A75}">
    <text>Same timeframe as picarro 2 h delay in compared to real time, sommertime?</text>
  </threadedComment>
  <threadedComment ref="N2" dT="2026-04-21T07:03:15.54" personId="{CB8B1872-E8E1-48AA-8172-37FB038FBF21}" id="{BF11EDF2-477B-4F80-B063-70EFE97B9D08}">
    <text>Last cyckle aprox 50 minite past this</text>
  </threadedComment>
  <threadedComment ref="D5" dT="2026-04-15T09:15:29.59" personId="{CB8B1872-E8E1-48AA-8172-37FB038FBF21}" id="{C3A4F254-8AF7-4ABB-8EB5-C1032E8DF48D}">
    <text>Samples are blocked, then randomized within the blocks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abSelected="1" topLeftCell="F1" workbookViewId="0">
      <selection activeCell="M15" sqref="M15"/>
    </sheetView>
  </sheetViews>
  <sheetFormatPr defaultRowHeight="14.4" x14ac:dyDescent="0.3"/>
  <cols>
    <col min="1" max="1" width="9.88671875" bestFit="1" customWidth="1"/>
    <col min="2" max="2" width="13.88671875" bestFit="1" customWidth="1"/>
    <col min="3" max="4" width="10.5546875" bestFit="1" customWidth="1"/>
    <col min="5" max="5" width="11.6640625" style="1" bestFit="1" customWidth="1"/>
    <col min="6" max="6" width="21.5546875" bestFit="1" customWidth="1"/>
    <col min="7" max="7" width="21.109375" style="1" bestFit="1" customWidth="1"/>
    <col min="8" max="9" width="21" bestFit="1" customWidth="1"/>
    <col min="10" max="10" width="20.109375" bestFit="1" customWidth="1"/>
    <col min="11" max="12" width="21" bestFit="1" customWidth="1"/>
    <col min="13" max="13" width="15.6640625" bestFit="1" customWidth="1"/>
    <col min="14" max="14" width="10.441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6</v>
      </c>
      <c r="G1" s="1" t="s">
        <v>7</v>
      </c>
      <c r="H1" t="s">
        <v>16</v>
      </c>
      <c r="I1" s="1" t="s">
        <v>8</v>
      </c>
      <c r="J1" s="1" t="s">
        <v>9</v>
      </c>
      <c r="K1" s="1" t="s">
        <v>17</v>
      </c>
      <c r="L1" s="1" t="s">
        <v>18</v>
      </c>
      <c r="M1" t="s">
        <v>5</v>
      </c>
      <c r="N1" t="s">
        <v>10</v>
      </c>
    </row>
    <row r="2" spans="1:14" x14ac:dyDescent="0.3">
      <c r="A2">
        <v>1</v>
      </c>
      <c r="B2">
        <v>1</v>
      </c>
      <c r="C2">
        <v>1</v>
      </c>
      <c r="D2" t="s">
        <v>15</v>
      </c>
      <c r="E2" s="1">
        <v>2.0190000000000001</v>
      </c>
      <c r="F2" s="1">
        <v>0.22500000000000001</v>
      </c>
      <c r="G2" s="1">
        <v>0.94899999999999995</v>
      </c>
      <c r="H2" s="1">
        <f>F2+G2</f>
        <v>1.1739999999999999</v>
      </c>
      <c r="I2" s="1">
        <v>0.219</v>
      </c>
      <c r="J2" s="1">
        <v>0.97099999999999997</v>
      </c>
      <c r="K2" s="1">
        <f>I5+J5</f>
        <v>1.1759999999999999</v>
      </c>
      <c r="L2" s="1">
        <f>AVERAGE(H2,K2)</f>
        <v>1.1749999999999998</v>
      </c>
      <c r="M2" s="2" t="s">
        <v>19</v>
      </c>
      <c r="N2" s="3">
        <v>46132.074305555558</v>
      </c>
    </row>
    <row r="3" spans="1:14" x14ac:dyDescent="0.3">
      <c r="A3">
        <v>2</v>
      </c>
      <c r="B3">
        <v>2</v>
      </c>
      <c r="C3">
        <v>2</v>
      </c>
      <c r="D3" t="s">
        <v>12</v>
      </c>
      <c r="E3" s="1">
        <v>2.0390000000000001</v>
      </c>
      <c r="F3" s="1">
        <v>0.22600000000000001</v>
      </c>
      <c r="G3" s="1">
        <v>0.94699999999999995</v>
      </c>
      <c r="H3" s="1">
        <f t="shared" ref="H3:H25" si="0">F3+G3</f>
        <v>1.173</v>
      </c>
      <c r="I3" s="1">
        <v>0.21199999999999999</v>
      </c>
      <c r="J3" s="1">
        <v>0.98</v>
      </c>
      <c r="K3" s="1">
        <f t="shared" ref="K3:K25" si="1">I3+J3</f>
        <v>1.1919999999999999</v>
      </c>
      <c r="L3" s="1">
        <f t="shared" ref="L3:L25" si="2">AVERAGE(H3,K3)</f>
        <v>1.1825000000000001</v>
      </c>
    </row>
    <row r="4" spans="1:14" x14ac:dyDescent="0.3">
      <c r="A4">
        <v>3</v>
      </c>
      <c r="B4">
        <v>3</v>
      </c>
      <c r="C4">
        <v>3</v>
      </c>
      <c r="D4" t="s">
        <v>13</v>
      </c>
      <c r="E4" s="1">
        <v>2.137</v>
      </c>
      <c r="F4" s="1">
        <v>0.22600000000000001</v>
      </c>
      <c r="G4" s="1">
        <v>0.94799999999999995</v>
      </c>
      <c r="H4" s="1">
        <f t="shared" si="0"/>
        <v>1.1739999999999999</v>
      </c>
      <c r="I4" s="1">
        <v>0.16</v>
      </c>
      <c r="J4" s="1">
        <v>1.0309999999999999</v>
      </c>
      <c r="K4" s="1">
        <f t="shared" si="1"/>
        <v>1.1909999999999998</v>
      </c>
      <c r="L4" s="1">
        <f t="shared" si="2"/>
        <v>1.1824999999999999</v>
      </c>
    </row>
    <row r="5" spans="1:14" x14ac:dyDescent="0.3">
      <c r="A5">
        <v>4</v>
      </c>
      <c r="B5">
        <v>4</v>
      </c>
      <c r="C5">
        <v>4</v>
      </c>
      <c r="D5" s="8" t="s">
        <v>14</v>
      </c>
      <c r="E5" s="1">
        <v>2.1080000000000001</v>
      </c>
      <c r="F5" s="1">
        <v>0.22600000000000001</v>
      </c>
      <c r="G5" s="1">
        <v>0.94899999999999995</v>
      </c>
      <c r="H5" s="1">
        <f t="shared" si="0"/>
        <v>1.175</v>
      </c>
      <c r="I5" s="1">
        <v>0.153</v>
      </c>
      <c r="J5" s="1">
        <v>1.0229999999999999</v>
      </c>
      <c r="K5" s="1">
        <f t="shared" si="1"/>
        <v>1.1759999999999999</v>
      </c>
      <c r="L5" s="1">
        <f t="shared" si="2"/>
        <v>1.1755</v>
      </c>
    </row>
    <row r="6" spans="1:14" x14ac:dyDescent="0.3">
      <c r="A6">
        <v>5</v>
      </c>
      <c r="B6">
        <v>5</v>
      </c>
      <c r="C6">
        <v>5</v>
      </c>
      <c r="D6" t="s">
        <v>13</v>
      </c>
      <c r="E6" s="1">
        <v>2.0569999999999999</v>
      </c>
      <c r="F6" s="1">
        <v>0.22600000000000001</v>
      </c>
      <c r="G6" s="1">
        <v>0.94799999999999995</v>
      </c>
      <c r="H6" s="1">
        <f t="shared" si="0"/>
        <v>1.1739999999999999</v>
      </c>
      <c r="I6" s="1">
        <v>0.161</v>
      </c>
      <c r="J6" s="1">
        <v>1.028</v>
      </c>
      <c r="K6" s="1">
        <f t="shared" si="1"/>
        <v>1.1890000000000001</v>
      </c>
      <c r="L6" s="1">
        <f t="shared" si="2"/>
        <v>1.1815</v>
      </c>
    </row>
    <row r="7" spans="1:14" x14ac:dyDescent="0.3">
      <c r="A7">
        <v>11</v>
      </c>
      <c r="B7">
        <v>11</v>
      </c>
      <c r="C7" t="s">
        <v>11</v>
      </c>
      <c r="D7" s="4" t="s">
        <v>11</v>
      </c>
      <c r="E7" s="5"/>
      <c r="F7" s="1">
        <v>0.40799999999999997</v>
      </c>
      <c r="G7" s="1">
        <v>0.77400000000000002</v>
      </c>
      <c r="H7" s="1">
        <f t="shared" si="0"/>
        <v>1.1819999999999999</v>
      </c>
      <c r="I7">
        <v>0.42699999999999999</v>
      </c>
      <c r="J7" s="1">
        <v>0.77200000000000002</v>
      </c>
      <c r="K7" s="1">
        <f t="shared" si="1"/>
        <v>1.1990000000000001</v>
      </c>
      <c r="L7" s="1">
        <f t="shared" si="2"/>
        <v>1.1905000000000001</v>
      </c>
    </row>
    <row r="8" spans="1:14" x14ac:dyDescent="0.3">
      <c r="A8">
        <v>6</v>
      </c>
      <c r="B8">
        <v>6</v>
      </c>
      <c r="C8">
        <v>6</v>
      </c>
      <c r="D8" t="s">
        <v>12</v>
      </c>
      <c r="E8" s="1">
        <v>2.0089999999999999</v>
      </c>
      <c r="F8" s="1">
        <v>0.22500000000000001</v>
      </c>
      <c r="G8" s="1">
        <v>0.95</v>
      </c>
      <c r="H8" s="1">
        <f t="shared" si="0"/>
        <v>1.175</v>
      </c>
      <c r="I8" s="1">
        <v>0.19</v>
      </c>
      <c r="J8" s="1">
        <v>1</v>
      </c>
      <c r="K8" s="1">
        <f t="shared" si="1"/>
        <v>1.19</v>
      </c>
      <c r="L8" s="1">
        <f t="shared" si="2"/>
        <v>1.1825000000000001</v>
      </c>
    </row>
    <row r="9" spans="1:14" x14ac:dyDescent="0.3">
      <c r="A9">
        <v>7</v>
      </c>
      <c r="B9">
        <v>7</v>
      </c>
      <c r="C9">
        <v>7</v>
      </c>
      <c r="D9" t="s">
        <v>15</v>
      </c>
      <c r="E9" s="1">
        <v>2.0390000000000001</v>
      </c>
      <c r="F9" s="1">
        <v>0.22700000000000001</v>
      </c>
      <c r="G9" s="1">
        <v>0.94799999999999995</v>
      </c>
      <c r="H9" s="1">
        <f t="shared" si="0"/>
        <v>1.175</v>
      </c>
      <c r="I9" s="1">
        <v>0.2</v>
      </c>
      <c r="J9" s="1">
        <v>0.99199999999999999</v>
      </c>
      <c r="K9" s="1">
        <f t="shared" si="1"/>
        <v>1.1919999999999999</v>
      </c>
      <c r="L9" s="1">
        <f t="shared" si="2"/>
        <v>1.1835</v>
      </c>
    </row>
    <row r="10" spans="1:14" x14ac:dyDescent="0.3">
      <c r="A10">
        <v>8</v>
      </c>
      <c r="B10">
        <v>8</v>
      </c>
      <c r="C10">
        <v>8</v>
      </c>
      <c r="D10" s="8" t="s">
        <v>14</v>
      </c>
      <c r="E10" s="1">
        <v>2.2909999999999999</v>
      </c>
      <c r="F10" s="1">
        <v>0.224</v>
      </c>
      <c r="G10" s="1">
        <v>0.94899999999999995</v>
      </c>
      <c r="H10" s="1">
        <f t="shared" si="0"/>
        <v>1.173</v>
      </c>
      <c r="I10" s="1">
        <v>0.22500000000000001</v>
      </c>
      <c r="J10" s="1">
        <v>0.96899999999999997</v>
      </c>
      <c r="K10" s="1">
        <f t="shared" si="1"/>
        <v>1.194</v>
      </c>
      <c r="L10" s="1">
        <f t="shared" si="2"/>
        <v>1.1835</v>
      </c>
    </row>
    <row r="11" spans="1:14" x14ac:dyDescent="0.3">
      <c r="A11">
        <v>9</v>
      </c>
      <c r="B11">
        <v>9</v>
      </c>
      <c r="C11">
        <v>9</v>
      </c>
      <c r="D11" t="s">
        <v>13</v>
      </c>
      <c r="E11" s="1">
        <v>2.0699999999999998</v>
      </c>
      <c r="F11" s="1">
        <v>0.22600000000000001</v>
      </c>
      <c r="G11" s="1">
        <v>0.94599999999999995</v>
      </c>
      <c r="H11" s="1">
        <f t="shared" si="0"/>
        <v>1.1719999999999999</v>
      </c>
      <c r="I11" s="1">
        <v>0.217</v>
      </c>
      <c r="J11" s="1">
        <v>0.91500000000000004</v>
      </c>
      <c r="K11" s="1">
        <f t="shared" si="1"/>
        <v>1.1320000000000001</v>
      </c>
      <c r="L11" s="1">
        <f t="shared" si="2"/>
        <v>1.1520000000000001</v>
      </c>
    </row>
    <row r="12" spans="1:14" x14ac:dyDescent="0.3">
      <c r="A12">
        <v>10</v>
      </c>
      <c r="B12">
        <v>10</v>
      </c>
      <c r="C12">
        <v>10</v>
      </c>
      <c r="D12" t="s">
        <v>12</v>
      </c>
      <c r="E12" s="1">
        <v>2.1829999999999998</v>
      </c>
      <c r="F12" s="1">
        <v>0.22600000000000001</v>
      </c>
      <c r="G12" s="1">
        <v>0.95</v>
      </c>
      <c r="H12" s="1">
        <f t="shared" si="0"/>
        <v>1.1759999999999999</v>
      </c>
      <c r="I12" s="1">
        <v>0.215</v>
      </c>
      <c r="J12" s="1">
        <v>0.97899999999999998</v>
      </c>
      <c r="K12" s="1">
        <f t="shared" si="1"/>
        <v>1.194</v>
      </c>
      <c r="L12" s="1">
        <f t="shared" si="2"/>
        <v>1.1850000000000001</v>
      </c>
    </row>
    <row r="13" spans="1:14" x14ac:dyDescent="0.3">
      <c r="A13">
        <v>12</v>
      </c>
      <c r="B13">
        <v>12</v>
      </c>
      <c r="C13" t="s">
        <v>11</v>
      </c>
      <c r="D13" s="4" t="s">
        <v>11</v>
      </c>
      <c r="E13" s="5"/>
      <c r="F13" s="1">
        <v>0.40899999999999997</v>
      </c>
      <c r="G13" s="1">
        <v>0.77</v>
      </c>
      <c r="H13" s="1">
        <f t="shared" si="0"/>
        <v>1.179</v>
      </c>
      <c r="I13" s="1">
        <v>0.42699999999999999</v>
      </c>
      <c r="J13" s="1">
        <v>0.77200000000000002</v>
      </c>
      <c r="K13" s="1">
        <f t="shared" si="1"/>
        <v>1.1990000000000001</v>
      </c>
      <c r="L13" s="1">
        <f t="shared" si="2"/>
        <v>1.1890000000000001</v>
      </c>
    </row>
    <row r="14" spans="1:14" x14ac:dyDescent="0.3">
      <c r="A14">
        <v>16</v>
      </c>
      <c r="B14">
        <v>17</v>
      </c>
      <c r="C14">
        <v>11</v>
      </c>
      <c r="D14" s="8" t="s">
        <v>14</v>
      </c>
      <c r="E14" s="1">
        <v>2.024</v>
      </c>
      <c r="F14" s="1">
        <v>0.22700000000000001</v>
      </c>
      <c r="G14" s="1">
        <v>0.94599999999999995</v>
      </c>
      <c r="H14" s="1">
        <f t="shared" si="0"/>
        <v>1.173</v>
      </c>
      <c r="I14" s="1">
        <v>0.22500000000000001</v>
      </c>
      <c r="J14" s="1">
        <v>0.96599999999999997</v>
      </c>
      <c r="K14" s="1">
        <f t="shared" si="1"/>
        <v>1.1910000000000001</v>
      </c>
      <c r="L14" s="1">
        <f t="shared" si="2"/>
        <v>1.1819999999999999</v>
      </c>
    </row>
    <row r="15" spans="1:14" x14ac:dyDescent="0.3">
      <c r="A15">
        <v>16</v>
      </c>
      <c r="B15">
        <v>18</v>
      </c>
      <c r="C15">
        <v>12</v>
      </c>
      <c r="D15" t="s">
        <v>12</v>
      </c>
      <c r="E15" s="1">
        <v>2.0830000000000002</v>
      </c>
      <c r="F15" s="1">
        <v>0.22600000000000001</v>
      </c>
      <c r="G15" s="1">
        <v>0.94799999999999995</v>
      </c>
      <c r="H15" s="1">
        <f t="shared" si="0"/>
        <v>1.1739999999999999</v>
      </c>
      <c r="I15" s="1">
        <v>0.217</v>
      </c>
      <c r="J15" s="1">
        <v>0.97899999999999998</v>
      </c>
      <c r="K15" s="1">
        <f t="shared" si="1"/>
        <v>1.196</v>
      </c>
      <c r="L15" s="1">
        <f t="shared" si="2"/>
        <v>1.1850000000000001</v>
      </c>
    </row>
    <row r="16" spans="1:14" x14ac:dyDescent="0.3">
      <c r="A16">
        <v>16</v>
      </c>
      <c r="B16">
        <v>19</v>
      </c>
      <c r="C16">
        <v>13</v>
      </c>
      <c r="D16" t="s">
        <v>14</v>
      </c>
      <c r="E16" s="1">
        <v>2.04</v>
      </c>
      <c r="F16" s="1">
        <v>0.22500000000000001</v>
      </c>
      <c r="G16" s="1">
        <v>0.94799999999999995</v>
      </c>
      <c r="H16" s="1">
        <f t="shared" si="0"/>
        <v>1.173</v>
      </c>
      <c r="I16" s="1">
        <v>0.66</v>
      </c>
      <c r="J16" s="1">
        <v>1.0229999999999999</v>
      </c>
      <c r="K16" s="1">
        <f>I16+J16</f>
        <v>1.6829999999999998</v>
      </c>
      <c r="L16" s="1">
        <f t="shared" si="2"/>
        <v>1.4279999999999999</v>
      </c>
    </row>
    <row r="17" spans="1:12" x14ac:dyDescent="0.3">
      <c r="A17">
        <v>16</v>
      </c>
      <c r="B17">
        <v>20</v>
      </c>
      <c r="C17">
        <v>14</v>
      </c>
      <c r="D17" s="8" t="s">
        <v>13</v>
      </c>
      <c r="E17" s="1">
        <v>2.0569999999999999</v>
      </c>
      <c r="F17" s="1">
        <v>0.22500000000000001</v>
      </c>
      <c r="G17" s="1">
        <v>0.95</v>
      </c>
      <c r="H17" s="1">
        <f t="shared" si="0"/>
        <v>1.175</v>
      </c>
      <c r="I17" s="1">
        <v>0.223</v>
      </c>
      <c r="J17" s="1">
        <v>0.97199999999999998</v>
      </c>
      <c r="K17" s="1">
        <f>I17+J17</f>
        <v>1.1950000000000001</v>
      </c>
      <c r="L17" s="1">
        <f t="shared" si="2"/>
        <v>1.1850000000000001</v>
      </c>
    </row>
    <row r="18" spans="1:12" x14ac:dyDescent="0.3">
      <c r="A18">
        <v>16</v>
      </c>
      <c r="B18">
        <v>21</v>
      </c>
      <c r="C18">
        <v>15</v>
      </c>
      <c r="D18" t="s">
        <v>14</v>
      </c>
      <c r="E18" s="1">
        <v>2.093</v>
      </c>
      <c r="F18" s="1">
        <v>0.22500000000000001</v>
      </c>
      <c r="G18" s="1">
        <v>0.95</v>
      </c>
      <c r="H18" s="1">
        <f t="shared" si="0"/>
        <v>1.175</v>
      </c>
      <c r="I18" s="1">
        <v>0.22800000000000001</v>
      </c>
      <c r="J18" s="1">
        <v>0.96499999999999997</v>
      </c>
      <c r="K18" s="1">
        <f t="shared" si="1"/>
        <v>1.1930000000000001</v>
      </c>
      <c r="L18" s="1">
        <f t="shared" si="2"/>
        <v>1.1840000000000002</v>
      </c>
    </row>
    <row r="19" spans="1:12" x14ac:dyDescent="0.3">
      <c r="A19">
        <v>16</v>
      </c>
      <c r="B19">
        <v>27</v>
      </c>
      <c r="C19" t="s">
        <v>11</v>
      </c>
      <c r="D19" s="4" t="s">
        <v>11</v>
      </c>
      <c r="E19" s="5"/>
      <c r="F19" s="1">
        <v>0.44800000000000001</v>
      </c>
      <c r="G19" s="1">
        <v>0.73499999999999999</v>
      </c>
      <c r="H19" s="1">
        <f t="shared" si="0"/>
        <v>1.1830000000000001</v>
      </c>
      <c r="I19" s="1">
        <v>0.47399999999999998</v>
      </c>
      <c r="J19" s="1">
        <v>0.72799999999999998</v>
      </c>
      <c r="K19" s="1">
        <f t="shared" si="1"/>
        <v>1.202</v>
      </c>
      <c r="L19" s="1">
        <f t="shared" si="2"/>
        <v>1.1924999999999999</v>
      </c>
    </row>
    <row r="20" spans="1:12" x14ac:dyDescent="0.3">
      <c r="A20">
        <v>16</v>
      </c>
      <c r="B20">
        <v>22</v>
      </c>
      <c r="C20">
        <v>16</v>
      </c>
      <c r="D20" t="s">
        <v>13</v>
      </c>
      <c r="E20" s="1">
        <v>2.0859999999999999</v>
      </c>
      <c r="F20" s="1">
        <v>0.22700000000000001</v>
      </c>
      <c r="G20" s="1">
        <v>0.95</v>
      </c>
      <c r="H20" s="1">
        <f t="shared" si="0"/>
        <v>1.177</v>
      </c>
      <c r="I20" s="1">
        <v>0.223</v>
      </c>
      <c r="J20" s="1">
        <v>0.96799999999999997</v>
      </c>
      <c r="K20" s="1">
        <f t="shared" si="1"/>
        <v>1.1910000000000001</v>
      </c>
      <c r="L20" s="1">
        <f t="shared" si="2"/>
        <v>1.1840000000000002</v>
      </c>
    </row>
    <row r="21" spans="1:12" x14ac:dyDescent="0.3">
      <c r="A21">
        <v>16</v>
      </c>
      <c r="B21">
        <v>23</v>
      </c>
      <c r="C21">
        <v>17</v>
      </c>
      <c r="D21" s="8" t="s">
        <v>12</v>
      </c>
      <c r="E21" s="1">
        <v>2.1190000000000002</v>
      </c>
      <c r="F21" s="1">
        <v>0.22600000000000001</v>
      </c>
      <c r="G21" s="1">
        <v>0.94899999999999995</v>
      </c>
      <c r="H21" s="1">
        <f t="shared" si="0"/>
        <v>1.175</v>
      </c>
      <c r="I21" s="1">
        <v>0.22600000000000001</v>
      </c>
      <c r="J21" s="1">
        <v>0.96599999999999997</v>
      </c>
      <c r="K21" s="1">
        <f t="shared" si="1"/>
        <v>1.1919999999999999</v>
      </c>
      <c r="L21" s="1">
        <f t="shared" si="2"/>
        <v>1.1835</v>
      </c>
    </row>
    <row r="22" spans="1:12" x14ac:dyDescent="0.3">
      <c r="A22">
        <v>16</v>
      </c>
      <c r="B22">
        <v>24</v>
      </c>
      <c r="C22">
        <v>18</v>
      </c>
      <c r="D22" t="s">
        <v>13</v>
      </c>
      <c r="E22" s="1">
        <v>2.036</v>
      </c>
      <c r="F22" s="1">
        <v>0.22700000000000001</v>
      </c>
      <c r="G22" s="1">
        <v>0.94799999999999995</v>
      </c>
      <c r="H22" s="1">
        <f t="shared" si="0"/>
        <v>1.175</v>
      </c>
      <c r="I22" s="1">
        <v>0.219</v>
      </c>
      <c r="J22" s="1">
        <v>0.97399999999999998</v>
      </c>
      <c r="K22" s="1">
        <f t="shared" si="1"/>
        <v>1.1930000000000001</v>
      </c>
      <c r="L22" s="1">
        <f t="shared" si="2"/>
        <v>1.1840000000000002</v>
      </c>
    </row>
    <row r="23" spans="1:12" x14ac:dyDescent="0.3">
      <c r="A23">
        <v>16</v>
      </c>
      <c r="B23">
        <v>25</v>
      </c>
      <c r="C23">
        <v>19</v>
      </c>
      <c r="D23" t="s">
        <v>14</v>
      </c>
      <c r="E23" s="1">
        <v>2.0550000000000002</v>
      </c>
      <c r="F23" s="1">
        <v>0.22700000000000001</v>
      </c>
      <c r="G23" s="1">
        <v>0.94799999999999995</v>
      </c>
      <c r="H23" s="1">
        <f t="shared" si="0"/>
        <v>1.175</v>
      </c>
      <c r="I23" s="1">
        <v>0.22800000000000001</v>
      </c>
      <c r="J23" s="1">
        <v>0.96399999999999997</v>
      </c>
      <c r="K23" s="1">
        <f t="shared" si="1"/>
        <v>1.1919999999999999</v>
      </c>
      <c r="L23" s="1">
        <f t="shared" si="2"/>
        <v>1.1835</v>
      </c>
    </row>
    <row r="24" spans="1:12" x14ac:dyDescent="0.3">
      <c r="A24">
        <v>16</v>
      </c>
      <c r="B24">
        <v>26</v>
      </c>
      <c r="C24">
        <v>20</v>
      </c>
      <c r="D24" t="s">
        <v>12</v>
      </c>
      <c r="E24" s="1">
        <v>2.073</v>
      </c>
      <c r="F24" s="1">
        <v>0.22700000000000001</v>
      </c>
      <c r="G24" s="1">
        <v>0.95199999999999996</v>
      </c>
      <c r="H24" s="1">
        <f t="shared" si="0"/>
        <v>1.179</v>
      </c>
      <c r="I24" s="1">
        <v>0.23100000000000001</v>
      </c>
      <c r="J24" s="1">
        <v>0.96399999999999997</v>
      </c>
      <c r="K24" s="1">
        <f t="shared" si="1"/>
        <v>1.1950000000000001</v>
      </c>
      <c r="L24" s="1">
        <f t="shared" si="2"/>
        <v>1.1870000000000001</v>
      </c>
    </row>
    <row r="25" spans="1:12" x14ac:dyDescent="0.3">
      <c r="A25">
        <v>16</v>
      </c>
      <c r="B25">
        <v>28</v>
      </c>
      <c r="C25" t="s">
        <v>11</v>
      </c>
      <c r="D25" s="6" t="s">
        <v>11</v>
      </c>
      <c r="E25" s="7"/>
      <c r="F25" s="9">
        <v>0.45300000000000001</v>
      </c>
      <c r="G25" s="1">
        <v>0.73199999999999998</v>
      </c>
      <c r="H25" s="1">
        <f t="shared" si="0"/>
        <v>1.1850000000000001</v>
      </c>
      <c r="I25" s="1">
        <v>0.47299999999999998</v>
      </c>
      <c r="J25" s="1">
        <v>0.72899999999999998</v>
      </c>
      <c r="K25" s="1">
        <f t="shared" si="1"/>
        <v>1.202</v>
      </c>
      <c r="L25" s="1">
        <f t="shared" si="2"/>
        <v>1.1935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2026-04-21T07:08:11Z</dcterms:modified>
</cp:coreProperties>
</file>