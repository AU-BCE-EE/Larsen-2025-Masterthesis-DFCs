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14-Density-exp\"/>
    </mc:Choice>
  </mc:AlternateContent>
  <xr:revisionPtr revIDLastSave="0" documentId="13_ncr:1_{955B0A27-BB2E-4FD9-B5E3-95B9DE74F8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H8" i="1"/>
  <c r="H9" i="1"/>
  <c r="H10" i="1"/>
  <c r="G8" i="1"/>
  <c r="G9" i="1"/>
  <c r="G10" i="1"/>
  <c r="E10" i="1"/>
  <c r="E9" i="1"/>
  <c r="E8" i="1"/>
  <c r="G3" i="1" l="1"/>
  <c r="G4" i="1"/>
  <c r="G5" i="1"/>
  <c r="G6" i="1"/>
  <c r="G7" i="1"/>
  <c r="H7" i="1" s="1"/>
  <c r="I7" i="1" s="1"/>
  <c r="G2" i="1"/>
  <c r="E3" i="1"/>
  <c r="E4" i="1"/>
  <c r="E5" i="1"/>
  <c r="E6" i="1"/>
  <c r="H6" i="1" s="1"/>
  <c r="I6" i="1" s="1"/>
  <c r="E7" i="1"/>
  <c r="E2" i="1"/>
  <c r="H2" i="1" s="1"/>
  <c r="I2" i="1" s="1"/>
  <c r="H4" i="1" l="1"/>
  <c r="I4" i="1" s="1"/>
  <c r="H3" i="1"/>
  <c r="I3" i="1" s="1"/>
  <c r="H5" i="1"/>
  <c r="I5" i="1" s="1"/>
  <c r="J5" i="1"/>
  <c r="K5" i="1"/>
  <c r="K2" i="1"/>
  <c r="J2" i="1"/>
  <c r="T3" i="1" l="1"/>
  <c r="T4" i="1"/>
  <c r="Q4" i="1"/>
  <c r="R4" i="1" s="1"/>
  <c r="S4" i="1" s="1"/>
  <c r="Q3" i="1"/>
  <c r="R3" i="1" s="1"/>
  <c r="S3" i="1" s="1"/>
  <c r="U4" i="1" l="1"/>
  <c r="V4" i="1" s="1"/>
  <c r="U3" i="1"/>
  <c r="V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tc={E6C46A10-5F23-4C63-B09B-4044A09A68A5}</author>
    <author>tc={4E536A07-532F-45D7-94C5-941ACF3C7F7D}</author>
  </authors>
  <commentList>
    <comment ref="B2" authorId="0" shapeId="0" xr:uid="{E6C46A10-5F23-4C63-B09B-4044A09A68A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week before starting the experiment</t>
      </text>
    </comment>
    <comment ref="B8" authorId="1" shapeId="0" xr:uid="{4E536A07-532F-45D7-94C5-941ACF3C7F7D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after packing the soils</t>
      </text>
    </comment>
  </commentList>
</comments>
</file>

<file path=xl/sharedStrings.xml><?xml version="1.0" encoding="utf-8"?>
<sst xmlns="http://schemas.openxmlformats.org/spreadsheetml/2006/main" count="38" uniqueCount="33">
  <si>
    <t>ID</t>
  </si>
  <si>
    <t>m(alue) [g]</t>
  </si>
  <si>
    <t>m(wet)</t>
  </si>
  <si>
    <t>ML1</t>
  </si>
  <si>
    <t>ML2</t>
  </si>
  <si>
    <t>ML3</t>
  </si>
  <si>
    <t>MZ1</t>
  </si>
  <si>
    <t>MZ2</t>
  </si>
  <si>
    <t>MZ3</t>
  </si>
  <si>
    <t>m(wet + alue)[g]</t>
  </si>
  <si>
    <t>m(dry) [g]</t>
  </si>
  <si>
    <t>m(dry + alue) [g]</t>
  </si>
  <si>
    <t>m(water) [g]</t>
  </si>
  <si>
    <t>water content [g_water / g_dry]</t>
  </si>
  <si>
    <t>Field soil</t>
  </si>
  <si>
    <t>High density pakced</t>
  </si>
  <si>
    <t>Low density packed</t>
  </si>
  <si>
    <t>mean</t>
  </si>
  <si>
    <t>stdev</t>
  </si>
  <si>
    <t>Water content [gwater / gdry]</t>
  </si>
  <si>
    <t>Dry bulk density [g / cm3]</t>
  </si>
  <si>
    <t>V(sample) [cm3]</t>
  </si>
  <si>
    <t>Constants</t>
  </si>
  <si>
    <t>(0.18 + 0.07)</t>
  </si>
  <si>
    <t>dry soil needed [g]</t>
  </si>
  <si>
    <t>Water from soil [g]</t>
  </si>
  <si>
    <t>total mass [g]</t>
  </si>
  <si>
    <t>Per stamp [g]</t>
  </si>
  <si>
    <t>total mass per stamp [g]</t>
  </si>
  <si>
    <t>Water required [g]</t>
  </si>
  <si>
    <t>Excess to add [g]</t>
  </si>
  <si>
    <t>n(stamps)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</si>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</sst>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0" borderId="0" xfId="0" applyFont="1"/>
    <xf numFmtId="2" fontId="0" fillId="3" borderId="0" xfId="0" applyNumberFormat="1" applyFill="1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09E67358-F804-4B97-832D-8600B841E772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15T09:57:10.83" personId="{09E67358-F804-4B97-832D-8600B841E772}" id="{E6C46A10-5F23-4C63-B09B-4044A09A68A5}">
    <text>The week before starting the experiment</text>
  </threadedComment>
  <threadedComment ref="B8" dT="2026-04-15T09:58:38.45" personId="{09E67358-F804-4B97-832D-8600B841E772}" id="{4E536A07-532F-45D7-94C5-941ACF3C7F7D}">
    <text>Just after packing the soils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selection activeCell="B15" sqref="B15"/>
    </sheetView>
  </sheetViews>
  <sheetFormatPr defaultRowHeight="14.4" x14ac:dyDescent="0.3"/>
  <cols>
    <col min="2" max="2" width="14.109375" style="1" bestFit="1" customWidth="1"/>
    <col min="3" max="3" width="15.44140625" bestFit="1" customWidth="1"/>
    <col min="4" max="4" width="10.5546875" bestFit="1" customWidth="1"/>
    <col min="5" max="5" width="14.33203125" bestFit="1" customWidth="1"/>
    <col min="6" max="6" width="15.21875" bestFit="1" customWidth="1"/>
    <col min="7" max="7" width="11.109375" bestFit="1" customWidth="1"/>
    <col min="8" max="8" width="27.5546875" bestFit="1" customWidth="1"/>
    <col min="9" max="9" width="28.88671875" bestFit="1" customWidth="1"/>
    <col min="10" max="10" width="17.21875" bestFit="1" customWidth="1"/>
    <col min="11" max="11" width="21.44140625" bestFit="1" customWidth="1"/>
    <col min="12" max="12" width="27.5546875" bestFit="1" customWidth="1"/>
    <col min="13" max="13" width="21.44140625" bestFit="1" customWidth="1"/>
    <col min="14" max="14" width="27.5546875" bestFit="1" customWidth="1"/>
    <col min="15" max="15" width="17.33203125" bestFit="1" customWidth="1"/>
    <col min="16" max="16" width="16.5546875" bestFit="1" customWidth="1"/>
    <col min="17" max="17" width="12.21875" bestFit="1" customWidth="1"/>
    <col min="18" max="18" width="20.88671875" bestFit="1" customWidth="1"/>
    <col min="19" max="19" width="16.109375" bestFit="1" customWidth="1"/>
    <col min="20" max="20" width="14.77734375" bestFit="1" customWidth="1"/>
    <col min="21" max="21" width="11.77734375" bestFit="1" customWidth="1"/>
    <col min="23" max="23" width="14.33203125" bestFit="1" customWidth="1"/>
  </cols>
  <sheetData>
    <row r="1" spans="1:25" x14ac:dyDescent="0.3">
      <c r="A1" t="s">
        <v>0</v>
      </c>
      <c r="B1" s="1" t="s">
        <v>32</v>
      </c>
      <c r="C1" s="1" t="s">
        <v>9</v>
      </c>
      <c r="D1" t="s">
        <v>1</v>
      </c>
      <c r="E1" t="s">
        <v>2</v>
      </c>
      <c r="F1" t="s">
        <v>11</v>
      </c>
      <c r="G1" t="s">
        <v>10</v>
      </c>
      <c r="H1" t="s">
        <v>12</v>
      </c>
      <c r="I1" t="s">
        <v>13</v>
      </c>
      <c r="J1" t="s">
        <v>17</v>
      </c>
      <c r="K1" t="s">
        <v>18</v>
      </c>
      <c r="M1" t="s">
        <v>0</v>
      </c>
      <c r="N1" t="s">
        <v>20</v>
      </c>
      <c r="O1" t="s">
        <v>19</v>
      </c>
      <c r="P1" t="s">
        <v>24</v>
      </c>
      <c r="Q1" t="s">
        <v>25</v>
      </c>
      <c r="R1" t="s">
        <v>26</v>
      </c>
      <c r="S1" t="s">
        <v>28</v>
      </c>
      <c r="T1" t="s">
        <v>29</v>
      </c>
      <c r="U1" t="s">
        <v>30</v>
      </c>
      <c r="V1" t="s">
        <v>27</v>
      </c>
      <c r="X1" s="4" t="s">
        <v>22</v>
      </c>
    </row>
    <row r="2" spans="1:25" x14ac:dyDescent="0.3">
      <c r="A2" t="s">
        <v>3</v>
      </c>
      <c r="B2" s="6">
        <v>46121</v>
      </c>
      <c r="C2" s="1">
        <v>125.25</v>
      </c>
      <c r="D2">
        <v>4.2910000000000004</v>
      </c>
      <c r="E2" s="1">
        <f>C2-D2</f>
        <v>120.959</v>
      </c>
      <c r="F2">
        <v>100.849</v>
      </c>
      <c r="G2">
        <f>F2-D2</f>
        <v>96.558000000000007</v>
      </c>
      <c r="H2" s="1">
        <f>E2-G2</f>
        <v>24.400999999999996</v>
      </c>
      <c r="I2" s="2">
        <f>H2/G2</f>
        <v>0.25270821682304928</v>
      </c>
      <c r="J2" s="2">
        <f>AVERAGE(I2:I4)</f>
        <v>0.2518198659885334</v>
      </c>
      <c r="K2" s="2">
        <f>_xlfn.STDEV.P(I2:I4)</f>
        <v>9.0608450540909605E-3</v>
      </c>
      <c r="M2" t="s">
        <v>14</v>
      </c>
      <c r="N2" s="2">
        <v>1.5</v>
      </c>
      <c r="O2" s="2">
        <v>0.25</v>
      </c>
      <c r="P2" s="3"/>
      <c r="Q2" s="3"/>
      <c r="R2" s="3"/>
      <c r="S2" s="3"/>
      <c r="T2" s="3"/>
      <c r="U2" s="3"/>
      <c r="V2" s="3"/>
      <c r="X2" t="s">
        <v>21</v>
      </c>
      <c r="Y2">
        <v>100</v>
      </c>
    </row>
    <row r="3" spans="1:25" x14ac:dyDescent="0.3">
      <c r="A3" t="s">
        <v>4</v>
      </c>
      <c r="B3" s="6">
        <v>46121</v>
      </c>
      <c r="C3" s="1">
        <v>138.08099999999999</v>
      </c>
      <c r="D3">
        <v>4.2919999999999998</v>
      </c>
      <c r="E3" s="1">
        <f t="shared" ref="E3:E10" si="0">C3-D3</f>
        <v>133.78899999999999</v>
      </c>
      <c r="F3">
        <v>110.268</v>
      </c>
      <c r="G3">
        <f t="shared" ref="G3:G10" si="1">F3-D3</f>
        <v>105.976</v>
      </c>
      <c r="H3" s="1">
        <f t="shared" ref="H3:H10" si="2">E3-G3</f>
        <v>27.812999999999988</v>
      </c>
      <c r="I3" s="2">
        <f t="shared" ref="I3:I10" si="3">H3/G3</f>
        <v>0.26244621423718567</v>
      </c>
      <c r="M3" t="s">
        <v>15</v>
      </c>
      <c r="N3" s="2">
        <v>1.5</v>
      </c>
      <c r="O3" s="2" t="s">
        <v>23</v>
      </c>
      <c r="P3" s="2">
        <v>150</v>
      </c>
      <c r="Q3" s="2">
        <f>P3*J5</f>
        <v>26.294748691286532</v>
      </c>
      <c r="R3" s="2">
        <f>P3+Q3</f>
        <v>176.29474869128654</v>
      </c>
      <c r="S3" s="5">
        <f>R3/4</f>
        <v>44.073687172821636</v>
      </c>
      <c r="T3" s="2">
        <f>P3*J2</f>
        <v>37.772979898280006</v>
      </c>
      <c r="U3" s="2">
        <f>T3-Q3</f>
        <v>11.478231206993474</v>
      </c>
      <c r="V3" s="5">
        <f>U3/Y3</f>
        <v>2.8695578017483685</v>
      </c>
      <c r="X3" t="s">
        <v>31</v>
      </c>
      <c r="Y3">
        <v>4</v>
      </c>
    </row>
    <row r="4" spans="1:25" x14ac:dyDescent="0.3">
      <c r="A4" t="s">
        <v>5</v>
      </c>
      <c r="B4" s="6">
        <v>46121</v>
      </c>
      <c r="C4" s="1">
        <v>94.373000000000005</v>
      </c>
      <c r="D4">
        <v>4.3070000000000004</v>
      </c>
      <c r="E4" s="1">
        <f t="shared" si="0"/>
        <v>90.066000000000003</v>
      </c>
      <c r="F4">
        <v>76.923000000000002</v>
      </c>
      <c r="G4">
        <f t="shared" si="1"/>
        <v>72.616</v>
      </c>
      <c r="H4" s="1">
        <f t="shared" si="2"/>
        <v>17.450000000000003</v>
      </c>
      <c r="I4" s="2">
        <f t="shared" si="3"/>
        <v>0.24030516690536524</v>
      </c>
      <c r="M4" t="s">
        <v>16</v>
      </c>
      <c r="N4" s="5">
        <v>1.2</v>
      </c>
      <c r="O4" t="s">
        <v>23</v>
      </c>
      <c r="P4" s="2">
        <v>120</v>
      </c>
      <c r="Q4" s="2">
        <f>P4*J5</f>
        <v>21.035798953029225</v>
      </c>
      <c r="R4" s="2">
        <f>P4+Q4</f>
        <v>141.03579895302923</v>
      </c>
      <c r="S4" s="5">
        <f>R4/4</f>
        <v>35.258949738257307</v>
      </c>
      <c r="T4" s="2">
        <f>P4*J2</f>
        <v>30.218383918624006</v>
      </c>
      <c r="U4" s="2">
        <f>T4-Q4</f>
        <v>9.1825849655947813</v>
      </c>
      <c r="V4" s="5">
        <f>U4/Y3</f>
        <v>2.2956462413986953</v>
      </c>
    </row>
    <row r="5" spans="1:25" x14ac:dyDescent="0.3">
      <c r="A5" t="s">
        <v>6</v>
      </c>
      <c r="B5" s="6">
        <v>46121</v>
      </c>
      <c r="C5" s="1">
        <v>116.807</v>
      </c>
      <c r="D5">
        <v>4.2990000000000004</v>
      </c>
      <c r="E5" s="1">
        <f t="shared" si="0"/>
        <v>112.508</v>
      </c>
      <c r="F5">
        <v>98.825999999999993</v>
      </c>
      <c r="G5">
        <f t="shared" si="1"/>
        <v>94.526999999999987</v>
      </c>
      <c r="H5" s="1">
        <f t="shared" si="2"/>
        <v>17.981000000000009</v>
      </c>
      <c r="I5" s="2">
        <f t="shared" si="3"/>
        <v>0.19022078347985244</v>
      </c>
      <c r="J5" s="2">
        <f>AVERAGE(I5:I7)</f>
        <v>0.17529832460857689</v>
      </c>
      <c r="K5" s="2">
        <f>_xlfn.STDEV.P(I5:I7)</f>
        <v>2.0374328006409408E-2</v>
      </c>
    </row>
    <row r="6" spans="1:25" x14ac:dyDescent="0.3">
      <c r="A6" t="s">
        <v>7</v>
      </c>
      <c r="B6" s="6">
        <v>46121</v>
      </c>
      <c r="C6" s="1">
        <v>117.89100000000001</v>
      </c>
      <c r="D6">
        <v>4.3070000000000004</v>
      </c>
      <c r="E6" s="1">
        <f t="shared" si="0"/>
        <v>113.584</v>
      </c>
      <c r="F6">
        <v>103.378</v>
      </c>
      <c r="G6">
        <f t="shared" si="1"/>
        <v>99.070999999999998</v>
      </c>
      <c r="H6" s="1">
        <f t="shared" si="2"/>
        <v>14.513000000000005</v>
      </c>
      <c r="I6" s="2">
        <f t="shared" si="3"/>
        <v>0.1464909004653229</v>
      </c>
    </row>
    <row r="7" spans="1:25" x14ac:dyDescent="0.3">
      <c r="A7" t="s">
        <v>8</v>
      </c>
      <c r="B7" s="6">
        <v>46121</v>
      </c>
      <c r="C7" s="1">
        <v>102.38</v>
      </c>
      <c r="D7">
        <v>4.3140000000000001</v>
      </c>
      <c r="E7" s="1">
        <f t="shared" si="0"/>
        <v>98.066000000000003</v>
      </c>
      <c r="F7">
        <v>86.778999999999996</v>
      </c>
      <c r="G7">
        <f t="shared" si="1"/>
        <v>82.465000000000003</v>
      </c>
      <c r="H7" s="1">
        <f t="shared" si="2"/>
        <v>15.600999999999999</v>
      </c>
      <c r="I7" s="2">
        <f t="shared" si="3"/>
        <v>0.18918328988055536</v>
      </c>
    </row>
    <row r="8" spans="1:25" x14ac:dyDescent="0.3">
      <c r="A8" t="s">
        <v>6</v>
      </c>
      <c r="B8" s="6">
        <v>46125</v>
      </c>
      <c r="C8" s="1">
        <v>54.576999999999998</v>
      </c>
      <c r="D8">
        <v>4.3040000000000003</v>
      </c>
      <c r="E8" s="1">
        <f t="shared" si="0"/>
        <v>50.272999999999996</v>
      </c>
      <c r="G8">
        <f t="shared" si="1"/>
        <v>-4.3040000000000003</v>
      </c>
      <c r="H8" s="1">
        <f t="shared" si="2"/>
        <v>54.576999999999998</v>
      </c>
      <c r="I8" s="2">
        <f t="shared" si="3"/>
        <v>-12.680529739776951</v>
      </c>
    </row>
    <row r="9" spans="1:25" x14ac:dyDescent="0.3">
      <c r="A9" t="s">
        <v>7</v>
      </c>
      <c r="B9" s="6">
        <v>46125</v>
      </c>
      <c r="C9" s="1">
        <v>54.875999999999998</v>
      </c>
      <c r="D9">
        <v>4.2949999999999999</v>
      </c>
      <c r="E9" s="1">
        <f t="shared" si="0"/>
        <v>50.580999999999996</v>
      </c>
      <c r="G9">
        <f t="shared" si="1"/>
        <v>-4.2949999999999999</v>
      </c>
      <c r="H9" s="1">
        <f t="shared" si="2"/>
        <v>54.875999999999998</v>
      </c>
      <c r="I9" s="2">
        <f t="shared" si="3"/>
        <v>-12.776717112922002</v>
      </c>
    </row>
    <row r="10" spans="1:25" x14ac:dyDescent="0.3">
      <c r="A10" t="s">
        <v>8</v>
      </c>
      <c r="B10" s="6">
        <v>46125</v>
      </c>
      <c r="C10" s="1">
        <v>54.093000000000004</v>
      </c>
      <c r="D10" s="7">
        <v>4.3</v>
      </c>
      <c r="E10" s="1">
        <f t="shared" si="0"/>
        <v>49.793000000000006</v>
      </c>
      <c r="G10">
        <f t="shared" si="1"/>
        <v>-4.3</v>
      </c>
      <c r="H10" s="1">
        <f t="shared" si="2"/>
        <v>54.093000000000004</v>
      </c>
      <c r="I10" s="2">
        <f t="shared" si="3"/>
        <v>-12.579767441860467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2026-04-15T12:03:28Z</dcterms:modified>
</cp:coreProperties>
</file>