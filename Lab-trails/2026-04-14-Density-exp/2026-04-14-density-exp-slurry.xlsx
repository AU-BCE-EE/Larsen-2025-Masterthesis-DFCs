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mikae\Desktop\Github - speciale\Larsen-2025-Masterthesis-DFCs\Lab-trails\2026-04-14-Density-exp\"/>
    </mc:Choice>
  </mc:AlternateContent>
  <xr:revisionPtr revIDLastSave="0" documentId="13_ncr:1_{30B521F1-787B-4B25-8B9F-9FA16D5401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N" sheetId="1" r:id="rId1"/>
    <sheet name="D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2" l="1"/>
  <c r="F4" i="2"/>
  <c r="D4" i="2"/>
  <c r="F3" i="2"/>
  <c r="D3" i="2"/>
  <c r="D2" i="2"/>
  <c r="G7" i="1"/>
  <c r="G6" i="1"/>
  <c r="G5" i="1"/>
  <c r="G4" i="1"/>
  <c r="G3" i="1"/>
  <c r="G2" i="1"/>
  <c r="G3" i="2" l="1"/>
  <c r="G4" i="2"/>
  <c r="I4" i="2" s="1"/>
  <c r="G2" i="2"/>
  <c r="I7" i="1"/>
  <c r="H7" i="1"/>
  <c r="I4" i="1"/>
  <c r="H4" i="1"/>
  <c r="H4" i="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tc={3010D286-DD46-4595-B85E-FCD64EF9B2C1}</author>
  </authors>
  <commentList>
    <comment ref="A1" authorId="0" shapeId="0" xr:uid="{3010D286-DD46-4595-B85E-FCD64EF9B2C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SL = (cattle) slurry
STD = ammonum carbonat </t>
      </text>
    </comment>
  </commentList>
</comments>
</file>

<file path=xl/sharedStrings.xml><?xml version="1.0" encoding="utf-8"?>
<sst xmlns="http://schemas.openxmlformats.org/spreadsheetml/2006/main" count="27" uniqueCount="26">
  <si>
    <t>ID</t>
  </si>
  <si>
    <t>m(sample) [g]</t>
  </si>
  <si>
    <t>m expected [g]</t>
  </si>
  <si>
    <t>Dilution factor [-]</t>
  </si>
  <si>
    <t>NH4-N (sample) [g/L]</t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</si>
  <si>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 xml:space="preserve">Mean </t>
    </r>
  </si>
  <si>
    <r>
      <t xml:space="preserve">NH4-N (sample) [g/L] </t>
    </r>
    <r>
      <rPr>
        <b/>
        <sz val="11"/>
        <color theme="1"/>
        <rFont val="Calibri"/>
        <family val="2"/>
        <scheme val="minor"/>
      </rPr>
      <t>stdev</t>
    </r>
  </si>
  <si>
    <t>STD1</t>
  </si>
  <si>
    <t>STD2</t>
  </si>
  <si>
    <t>SL1</t>
  </si>
  <si>
    <t>SL2</t>
  </si>
  <si>
    <t>SL3</t>
  </si>
  <si>
    <t>STD3</t>
  </si>
  <si>
    <t>pH</t>
  </si>
  <si>
    <t>m(alue) [g]</t>
  </si>
  <si>
    <t>m(wet + alue) [g]</t>
  </si>
  <si>
    <t>m(wet)</t>
  </si>
  <si>
    <t>m(dry + alue) [g]</t>
  </si>
  <si>
    <t>m(dry)</t>
  </si>
  <si>
    <t>%DM</t>
  </si>
  <si>
    <t>%DM avg</t>
  </si>
  <si>
    <t>%DM std-dev</t>
  </si>
  <si>
    <t>ML1</t>
  </si>
  <si>
    <t>ML2</t>
  </si>
  <si>
    <t>ML3</t>
  </si>
  <si>
    <t>NH4-N (diluted) [mg/L]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</si>
</sst>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0.000"/>
    <numFmt numFmtId="166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166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Mikael Løvig Larsen" id="{FCAAED7B-F5F1-4553-9146-85CC0A69F825}" userId="S::au705323@uni.au.dk::501b5c6e-34b9-41fc-bcf2-dc0650cde639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dT="2026-02-22T14:16:25.16" personId="{FCAAED7B-F5F1-4553-9146-85CC0A69F825}" id="{3010D286-DD46-4595-B85E-FCD64EF9B2C1}">
    <text xml:space="preserve">SL = (cattle) slurry
STD = ammonum carbonat 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"/>
  <sheetViews>
    <sheetView tabSelected="1" workbookViewId="0">
      <selection activeCell="D2" sqref="D2"/>
    </sheetView>
  </sheetViews>
  <sheetFormatPr defaultRowHeight="14.4" x14ac:dyDescent="0.3"/>
  <cols>
    <col min="2" max="2" width="13.21875" bestFit="1" customWidth="1"/>
    <col min="3" max="3" width="22.44140625" bestFit="1" customWidth="1"/>
    <col min="4" max="4" width="14" bestFit="1" customWidth="1"/>
    <col min="5" max="5" width="16" bestFit="1" customWidth="1"/>
    <col min="6" max="6" width="19.44140625" bestFit="1" customWidth="1"/>
    <col min="7" max="7" width="25.109375" bestFit="1" customWidth="1"/>
    <col min="8" max="9" width="11.109375" customWidth="1"/>
  </cols>
  <sheetData>
    <row r="1" spans="1:9" ht="43.2" x14ac:dyDescent="0.3">
      <c r="A1" t="s">
        <v>0</v>
      </c>
      <c r="B1" t="s">
        <v>13</v>
      </c>
      <c r="C1" t="s">
        <v>1</v>
      </c>
      <c r="D1" s="5" t="s">
        <v>25</v>
      </c>
      <c r="E1" t="s">
        <v>2</v>
      </c>
      <c r="F1" t="s">
        <v>3</v>
      </c>
      <c r="G1" t="s">
        <v>4</v>
      </c>
      <c r="H1" s="5" t="s">
        <v>5</v>
      </c>
      <c r="I1" s="5" t="s">
        <v>6</v>
      </c>
    </row>
    <row r="2" spans="1:9" x14ac:dyDescent="0.3">
      <c r="A2" t="s">
        <v>9</v>
      </c>
      <c r="B2">
        <v>7.18</v>
      </c>
      <c r="C2" s="1">
        <v>1.0389999999999999</v>
      </c>
      <c r="D2">
        <v>46</v>
      </c>
      <c r="E2" s="2">
        <v>1</v>
      </c>
      <c r="F2">
        <v>50</v>
      </c>
      <c r="G2" s="3">
        <f t="shared" ref="G2:G7" si="0">((D2*E2*F2)/C2)/1000</f>
        <v>2.2136669874879695</v>
      </c>
    </row>
    <row r="3" spans="1:9" x14ac:dyDescent="0.3">
      <c r="A3" t="s">
        <v>10</v>
      </c>
      <c r="B3">
        <v>7.18</v>
      </c>
      <c r="C3">
        <v>1.0096000000000001</v>
      </c>
      <c r="D3">
        <v>44</v>
      </c>
      <c r="E3" s="2">
        <v>1</v>
      </c>
      <c r="F3">
        <v>50</v>
      </c>
      <c r="G3" s="3">
        <f t="shared" si="0"/>
        <v>2.1790808240887478</v>
      </c>
    </row>
    <row r="4" spans="1:9" x14ac:dyDescent="0.3">
      <c r="A4" t="s">
        <v>11</v>
      </c>
      <c r="B4">
        <v>7.18</v>
      </c>
      <c r="C4">
        <v>1.0019</v>
      </c>
      <c r="D4">
        <v>43</v>
      </c>
      <c r="E4" s="2">
        <v>1</v>
      </c>
      <c r="F4">
        <v>50</v>
      </c>
      <c r="G4" s="3">
        <f t="shared" si="0"/>
        <v>2.1459227467811162</v>
      </c>
      <c r="H4" s="2">
        <f>AVERAGE(G2:G4)</f>
        <v>2.1795568527859444</v>
      </c>
      <c r="I4">
        <f>_xlfn.STDEV.P(G2:G4)</f>
        <v>2.7658518756764474E-2</v>
      </c>
    </row>
    <row r="5" spans="1:9" x14ac:dyDescent="0.3">
      <c r="A5" t="s">
        <v>7</v>
      </c>
      <c r="B5">
        <v>8.07</v>
      </c>
      <c r="C5" s="1">
        <v>1.0109999999999999</v>
      </c>
      <c r="D5">
        <v>78</v>
      </c>
      <c r="E5" s="2">
        <v>1</v>
      </c>
      <c r="F5">
        <v>50</v>
      </c>
      <c r="G5" s="3">
        <f t="shared" si="0"/>
        <v>3.8575667655786354</v>
      </c>
    </row>
    <row r="6" spans="1:9" x14ac:dyDescent="0.3">
      <c r="A6" t="s">
        <v>8</v>
      </c>
      <c r="B6">
        <v>8.07</v>
      </c>
      <c r="C6">
        <v>1.0321</v>
      </c>
      <c r="D6">
        <v>93</v>
      </c>
      <c r="E6" s="2">
        <v>1</v>
      </c>
      <c r="F6">
        <v>50</v>
      </c>
      <c r="G6" s="3">
        <f t="shared" si="0"/>
        <v>4.5053773859122179</v>
      </c>
    </row>
    <row r="7" spans="1:9" x14ac:dyDescent="0.3">
      <c r="A7" t="s">
        <v>12</v>
      </c>
      <c r="B7">
        <v>8.07</v>
      </c>
      <c r="C7">
        <v>1.0082</v>
      </c>
      <c r="D7">
        <v>88</v>
      </c>
      <c r="E7" s="2">
        <v>1</v>
      </c>
      <c r="F7">
        <v>50</v>
      </c>
      <c r="G7" s="3">
        <f t="shared" si="0"/>
        <v>4.3642134497123592</v>
      </c>
      <c r="H7" s="3">
        <f>AVERAGE(G5:G7)</f>
        <v>4.2423858670677381</v>
      </c>
      <c r="I7">
        <f>_xlfn.STDEV.P(G5:G7)</f>
        <v>0.27814399133544643</v>
      </c>
    </row>
    <row r="8" spans="1:9" x14ac:dyDescent="0.3">
      <c r="D8" s="2"/>
      <c r="F8" s="3"/>
    </row>
    <row r="9" spans="1:9" x14ac:dyDescent="0.3">
      <c r="D9" s="2"/>
      <c r="F9" s="3"/>
    </row>
    <row r="10" spans="1:9" x14ac:dyDescent="0.3">
      <c r="D10" s="2"/>
      <c r="F10" s="3"/>
      <c r="G10" s="3"/>
    </row>
    <row r="11" spans="1:9" x14ac:dyDescent="0.3">
      <c r="D11" s="2"/>
      <c r="F11" s="3"/>
    </row>
    <row r="12" spans="1:9" x14ac:dyDescent="0.3">
      <c r="D12" s="2"/>
      <c r="F12" s="3"/>
      <c r="G12" s="3"/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2F488-66DC-4E6C-A2BD-1AE1E849C347}">
  <dimension ref="A1:I10"/>
  <sheetViews>
    <sheetView workbookViewId="0">
      <selection activeCell="F8" sqref="F8"/>
    </sheetView>
  </sheetViews>
  <sheetFormatPr defaultRowHeight="14.4" x14ac:dyDescent="0.3"/>
  <cols>
    <col min="2" max="2" width="10.5546875" bestFit="1" customWidth="1"/>
    <col min="3" max="3" width="15.77734375" bestFit="1" customWidth="1"/>
    <col min="5" max="5" width="15.21875" bestFit="1" customWidth="1"/>
  </cols>
  <sheetData>
    <row r="1" spans="1:9" x14ac:dyDescent="0.3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</row>
    <row r="2" spans="1:9" x14ac:dyDescent="0.3">
      <c r="A2" t="s">
        <v>22</v>
      </c>
      <c r="B2">
        <v>4.2969999999999997</v>
      </c>
      <c r="C2">
        <v>38.987000000000002</v>
      </c>
      <c r="D2">
        <f>C2-B2</f>
        <v>34.690000000000005</v>
      </c>
      <c r="E2">
        <v>6.6029999999999998</v>
      </c>
      <c r="F2">
        <f>E2-B2</f>
        <v>2.306</v>
      </c>
      <c r="G2" s="2">
        <f>(F2/D2)*100</f>
        <v>6.6474488325165737</v>
      </c>
    </row>
    <row r="3" spans="1:9" x14ac:dyDescent="0.3">
      <c r="A3" t="s">
        <v>23</v>
      </c>
      <c r="B3">
        <v>4.3070000000000004</v>
      </c>
      <c r="C3">
        <v>47.526000000000003</v>
      </c>
      <c r="D3">
        <f t="shared" ref="D3:D4" si="0">C3-B3</f>
        <v>43.219000000000001</v>
      </c>
      <c r="E3" s="2">
        <v>7.2389999999999999</v>
      </c>
      <c r="F3">
        <f t="shared" ref="F3:F4" si="1">E3-B3</f>
        <v>2.9319999999999995</v>
      </c>
      <c r="G3" s="2">
        <f t="shared" ref="G3:G4" si="2">(F3/D3)*100</f>
        <v>6.7840533098868532</v>
      </c>
    </row>
    <row r="4" spans="1:9" x14ac:dyDescent="0.3">
      <c r="A4" t="s">
        <v>24</v>
      </c>
      <c r="B4">
        <v>4.2949999999999999</v>
      </c>
      <c r="C4" s="2">
        <v>64.37</v>
      </c>
      <c r="D4">
        <f t="shared" si="0"/>
        <v>60.075000000000003</v>
      </c>
      <c r="E4">
        <v>8.4489999999999998</v>
      </c>
      <c r="F4">
        <f t="shared" si="1"/>
        <v>4.1539999999999999</v>
      </c>
      <c r="G4" s="2">
        <f t="shared" si="2"/>
        <v>6.9146899708697456</v>
      </c>
      <c r="H4" s="4">
        <f>AVERAGE(G2:G4)</f>
        <v>6.7820640377577242</v>
      </c>
      <c r="I4" s="2">
        <f>_xlfn.STDEV.P(G2:G4)</f>
        <v>0.10910980527211286</v>
      </c>
    </row>
    <row r="5" spans="1:9" x14ac:dyDescent="0.3">
      <c r="G5" s="2"/>
    </row>
    <row r="6" spans="1:9" x14ac:dyDescent="0.3">
      <c r="E6" s="2"/>
      <c r="G6" s="2"/>
    </row>
    <row r="7" spans="1:9" x14ac:dyDescent="0.3">
      <c r="G7" s="2"/>
      <c r="H7" s="4"/>
      <c r="I7" s="2"/>
    </row>
    <row r="8" spans="1:9" x14ac:dyDescent="0.3">
      <c r="B8" s="2"/>
      <c r="G8" s="2"/>
    </row>
    <row r="9" spans="1:9" x14ac:dyDescent="0.3">
      <c r="G9" s="2"/>
    </row>
    <row r="10" spans="1:9" x14ac:dyDescent="0.3">
      <c r="G10" s="2"/>
      <c r="H10" s="4"/>
      <c r="I1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TAN</vt:lpstr>
      <vt:lpstr>DM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Mikael Løvig Larsen</dc:creator>
  <cp:lastModifiedBy>Mikael Løvig Larsen</cp:lastModifiedBy>
  <dcterms:created xsi:type="dcterms:W3CDTF">2015-06-05T18:19:34Z</dcterms:created>
  <dcterms:modified xsi:type="dcterms:W3CDTF">2026-04-21T07:04:45Z</dcterms:modified>
</cp:coreProperties>
</file>