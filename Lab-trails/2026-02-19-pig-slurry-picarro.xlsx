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19-pig-slurry\"/>
    </mc:Choice>
  </mc:AlternateContent>
  <xr:revisionPtr revIDLastSave="0" documentId="13_ncr:1_{B047DCAD-07B4-4261-A91C-EC8ABE119F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k1" sheetId="1" r:id="rId1"/>
    <sheet name="Starti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3" i="2"/>
  <c r="F24" i="2"/>
  <c r="F2" i="2"/>
  <c r="E2" i="2"/>
  <c r="E25" i="2"/>
  <c r="F25" i="2" s="1"/>
  <c r="E24" i="2"/>
  <c r="E23" i="2"/>
  <c r="E22" i="2"/>
  <c r="F22" i="2" s="1"/>
  <c r="E21" i="2"/>
  <c r="F21" i="2" s="1"/>
  <c r="E20" i="2"/>
  <c r="F20" i="2" s="1"/>
  <c r="E19" i="2"/>
  <c r="E18" i="2"/>
  <c r="E17" i="2"/>
  <c r="E16" i="2"/>
  <c r="E15" i="2"/>
  <c r="E14" i="2"/>
  <c r="E13" i="2"/>
  <c r="E12" i="2"/>
  <c r="E11" i="2"/>
  <c r="E10" i="2"/>
  <c r="E9" i="2"/>
  <c r="E5" i="2"/>
  <c r="E6" i="2"/>
  <c r="E7" i="2"/>
  <c r="E4" i="2"/>
  <c r="E8" i="2"/>
  <c r="E3" i="2"/>
  <c r="S2" i="1" l="1"/>
  <c r="S16" i="1"/>
  <c r="S17" i="1"/>
  <c r="S13" i="1"/>
  <c r="S3" i="1"/>
  <c r="S4" i="1"/>
  <c r="S5" i="1"/>
  <c r="S6" i="1"/>
  <c r="S7" i="1"/>
  <c r="S8" i="1"/>
  <c r="S9" i="1"/>
  <c r="S10" i="1"/>
  <c r="S11" i="1"/>
  <c r="S12" i="1"/>
  <c r="S14" i="1"/>
  <c r="S15" i="1"/>
  <c r="S18" i="1"/>
  <c r="S19" i="1"/>
  <c r="S20" i="1"/>
  <c r="S21" i="1"/>
  <c r="S22" i="1"/>
  <c r="S23" i="1"/>
  <c r="S24" i="1"/>
  <c r="S2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" i="1"/>
  <c r="J13" i="1"/>
  <c r="I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tc={8DC1FA48-6C73-43B8-B575-39BC1BCA9B35}</author>
    <author>tc={C98AD125-B9D1-4DC6-B29A-EE666E06C597}</author>
    <author>tc={41F19D6E-E99D-4BC4-9CF8-03971525C4BB}</author>
    <author>tc={34F919C0-E213-42BB-B018-7CF158825172}</author>
    <author>tc={9EFC68A0-E0CF-42A9-8A43-AB7809A53DCD}</author>
    <author>tc={BD837BDB-798F-46E2-9B1E-095AD2C34354}</author>
    <author>tc={74A47A3C-9B82-4D0E-8273-A61F47053664}</author>
    <author>tc={5FABE69D-7D9C-487D-8D7F-4B0424AC8BC4}</author>
  </authors>
  <commentList>
    <comment ref="A1" authorId="0" shapeId="0" xr:uid="{8DC1FA48-6C73-43B8-B575-39BC1BCA9B35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observations:
- first cycle was changed from std - Jar 6 was put after 2 to test the picarro early (std most sure emission source). As this one provided a realistic meausrement it was propoed initial low concentrations of 1 and 2 stemmed from initial adsorption in the system
- slurry had visibly better penetration in the packed soil samples</t>
      </text>
    </comment>
    <comment ref="I1" authorId="1" shapeId="0" xr:uid="{C98AD125-B9D1-4DC6-B29A-EE666E06C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liters per minute</t>
      </text>
    </comment>
    <comment ref="O1" authorId="2" shapeId="0" xr:uid="{41F19D6E-E99D-4BC4-9CF8-03971525C4BB}">
      <text>
        <t>[Threaded comment]
Your version of Excel allows you to read this threaded comment; however, any edits to it will get removed if the file is opened in a newer version of Excel. Learn more: https://go.microsoft.com/fwlink/?linkid=870924
Comment:
    Whether the notes on the samples were aligned with the sheet</t>
      </text>
    </comment>
    <comment ref="G2" authorId="3" shapeId="0" xr:uid="{34F919C0-E213-42BB-B018-7CF1588251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exact time - need to go into file and find valve 1 for exact</t>
      </text>
    </comment>
    <comment ref="M2" authorId="4" shapeId="0" xr:uid="{9EFC68A0-E0CF-42A9-8A43-AB7809A53DC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time when starting to measure the valves, not the end of the last cycle</t>
      </text>
    </comment>
    <comment ref="F3" authorId="5" shapeId="0" xr:uid="{BD837BDB-798F-46E2-9B1E-095AD2C343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red plastic piece of this one was not replaced with glass</t>
      </text>
    </comment>
    <comment ref="I13" authorId="6" shapeId="0" xr:uid="{74A47A3C-9B82-4D0E-8273-A61F4705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Didn’t write this one - avg of other backgrounds- both sample and bypass</t>
      </text>
    </comment>
    <comment ref="J13" authorId="7" shapeId="0" xr:uid="{5FABE69D-7D9C-487D-8D7F-4B0424AC8B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yellow columns were originally switched, then later corrected as the mistake was noticed by consulting paper-written notes from the day of the experiment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tc={0512BD21-7929-41DA-9007-7AFE0C102E88}</author>
  </authors>
  <commentList>
    <comment ref="A1" authorId="0" shapeId="0" xr:uid="{0512BD21-7929-41DA-9007-7AFE0C10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observations:
- first cycle was changed from std - Jar 6 was put after 2 to test the picarro early (std most sure emission source). As this one provided a realistic meausrement it was propoed initial low concentrations of 1 and 2 stemmed from initial adsorption in the system
- slurry had visibly better penetration in the packed soil samples</t>
      </text>
    </comment>
  </commentList>
</comments>
</file>

<file path=xl/sharedStrings.xml><?xml version="1.0" encoding="utf-8"?>
<sst xmlns="http://schemas.openxmlformats.org/spreadsheetml/2006/main" count="59" uniqueCount="31">
  <si>
    <t>Valve code</t>
  </si>
  <si>
    <t>Rot. Valve code</t>
  </si>
  <si>
    <t>Jar ID</t>
  </si>
  <si>
    <t>Treatment</t>
  </si>
  <si>
    <t>m sample[g]</t>
  </si>
  <si>
    <t>Starttime Picarro</t>
  </si>
  <si>
    <t>startdate</t>
  </si>
  <si>
    <t>endtime Piccarro</t>
  </si>
  <si>
    <t>enddate</t>
  </si>
  <si>
    <t>P Untr</t>
  </si>
  <si>
    <t>F H2SO4</t>
  </si>
  <si>
    <t>STD</t>
  </si>
  <si>
    <t>P H2SO4</t>
  </si>
  <si>
    <t>P AA</t>
  </si>
  <si>
    <t>Background</t>
  </si>
  <si>
    <t>F AA</t>
  </si>
  <si>
    <t>F Untr</t>
  </si>
  <si>
    <t>Chek</t>
  </si>
  <si>
    <t>-</t>
  </si>
  <si>
    <t>02/19-2026</t>
  </si>
  <si>
    <t>02/25-2026</t>
  </si>
  <si>
    <t>Q tot start [L/min]</t>
  </si>
  <si>
    <t>Q sample start [SL/min]</t>
  </si>
  <si>
    <t>Q Bypass start [SL/min]</t>
  </si>
  <si>
    <t>Q sample end [SL/min]</t>
  </si>
  <si>
    <t>Q  Bypass end [SL/min]</t>
  </si>
  <si>
    <t>Q tot end [SL/min]</t>
  </si>
  <si>
    <t>Q mean [SL/min]</t>
  </si>
  <si>
    <t>Starttime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</si>
  <si>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t [h]</t>
    </r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</si>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</sst>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64" fontId="0" fillId="0" borderId="0" xfId="0" applyNumberFormat="1" applyFill="1" applyBorder="1"/>
    <xf numFmtId="164" fontId="0" fillId="2" borderId="0" xfId="0" applyNumberFormat="1" applyFill="1"/>
    <xf numFmtId="164" fontId="0" fillId="2" borderId="0" xfId="0" applyNumberFormat="1" applyFill="1" applyBorder="1"/>
    <xf numFmtId="0" fontId="0" fillId="0" borderId="0" xfId="0" applyFill="1"/>
    <xf numFmtId="164" fontId="0" fillId="0" borderId="0" xfId="0" applyNumberFormat="1" applyFill="1"/>
    <xf numFmtId="0" fontId="2" fillId="2" borderId="0" xfId="0" applyFont="1" applyFill="1"/>
    <xf numFmtId="164" fontId="2" fillId="2" borderId="0" xfId="0" applyNumberFormat="1" applyFont="1" applyFill="1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41FB0084-A38E-4055-BCE6-FE39473376DA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2T14:05:30.51" personId="{41FB0084-A38E-4055-BCE6-FE39473376DA}" id="{8DC1FA48-6C73-43B8-B575-39BC1BCA9B35}">
    <text>General observations:
- first cycle was changed from std - Jar 6 was put after 2 to test the picarro early (std most sure emission source). As this one provided a realistic meausrement it was propoed initial low concentrations of 1 and 2 stemmed from initial adsorption in the system
- slurry had visibly better penetration in the packed soil samples</text>
  </threadedComment>
  <threadedComment ref="I1" dT="2026-03-12T10:45:59.68" personId="{41FB0084-A38E-4055-BCE6-FE39473376DA}" id="{C98AD125-B9D1-4DC6-B29A-EE666E06C597}">
    <text>Standard liters per minute</text>
  </threadedComment>
  <threadedComment ref="O1" dT="2026-02-19T08:43:58.04" personId="{41FB0084-A38E-4055-BCE6-FE39473376DA}" id="{41F19D6E-E99D-4BC4-9CF8-03971525C4BB}">
    <text>Whether the notes on the samples were aligned with the sheet</text>
  </threadedComment>
  <threadedComment ref="G2" dT="2026-02-22T14:00:45.12" personId="{41FB0084-A38E-4055-BCE6-FE39473376DA}" id="{34F919C0-E213-42BB-B018-7CF158825172}">
    <text>Not exact time - need to go into file and find valve 1 for exact</text>
  </threadedComment>
  <threadedComment ref="M2" dT="2026-02-26T10:23:52.59" personId="{41FB0084-A38E-4055-BCE6-FE39473376DA}" id="{9EFC68A0-E0CF-42A9-8A43-AB7809A53DCD}">
    <text>Approx time when starting to measure the valves, not the end of the last cycle</text>
  </threadedComment>
  <threadedComment ref="F3" dT="2026-02-22T13:48:32.41" personId="{41FB0084-A38E-4055-BCE6-FE39473376DA}" id="{BD837BDB-798F-46E2-9B1E-095AD2C34354}">
    <text>The red plastic piece of this one was not replaced with glass</text>
  </threadedComment>
  <threadedComment ref="I13" dT="2026-02-22T13:53:01.18" personId="{41FB0084-A38E-4055-BCE6-FE39473376DA}" id="{74A47A3C-9B82-4D0E-8273-A61F47053664}">
    <text>Didn’t write this one - avg of other backgrounds- both sample and bypass</text>
  </threadedComment>
  <threadedComment ref="J13" dT="2026-03-12T10:44:35.82" personId="{41FB0084-A38E-4055-BCE6-FE39473376DA}" id="{5FABE69D-7D9C-487D-8D7F-4B0424AC8BC4}">
    <text>The yellow columns were originally switched, then later corrected as the mistake was noticed by consulting paper-written notes from the day of the experiment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2-22T14:05:30.51" personId="{41FB0084-A38E-4055-BCE6-FE39473376DA}" id="{0512BD21-7929-41DA-9007-7AFE0C102E88}">
    <text>General observations:
- first cycle was changed from std - Jar 6 was put after 2 to test the picarro early (std most sure emission source). As this one provided a realistic meausrement it was propoed initial low concentrations of 1 and 2 stemmed from initial adsorption in the system
- slurry had visibly better penetration in the packed soil samples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workbookViewId="0">
      <selection sqref="A1:C25"/>
    </sheetView>
  </sheetViews>
  <sheetFormatPr defaultRowHeight="14.4" x14ac:dyDescent="0.3"/>
  <cols>
    <col min="1" max="1" width="10.44140625" bestFit="1" customWidth="1"/>
    <col min="2" max="2" width="13.88671875" bestFit="1" customWidth="1"/>
    <col min="3" max="4" width="10.5546875" bestFit="1" customWidth="1"/>
    <col min="5" max="5" width="11" bestFit="1" customWidth="1"/>
    <col min="6" max="6" width="14.88671875" style="3" bestFit="1" customWidth="1"/>
    <col min="7" max="7" width="14.88671875" bestFit="1" customWidth="1"/>
    <col min="8" max="8" width="10.44140625" bestFit="1" customWidth="1"/>
    <col min="9" max="9" width="20.44140625" bestFit="1" customWidth="1"/>
    <col min="10" max="10" width="20" bestFit="1" customWidth="1"/>
    <col min="11" max="11" width="20.21875" style="3" bestFit="1" customWidth="1"/>
    <col min="12" max="12" width="21" style="3" bestFit="1" customWidth="1"/>
    <col min="13" max="13" width="14.88671875" bestFit="1" customWidth="1"/>
    <col min="14" max="14" width="10.44140625" bestFit="1" customWidth="1"/>
    <col min="16" max="16" width="16.5546875" bestFit="1" customWidth="1"/>
    <col min="17" max="17" width="17.109375" bestFit="1" customWidth="1"/>
    <col min="18" max="18" width="15.5546875" style="3" bestFit="1" customWidth="1"/>
    <col min="19" max="19" width="15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F1" s="3" t="s">
        <v>4</v>
      </c>
      <c r="G1" t="s">
        <v>5</v>
      </c>
      <c r="H1" t="s">
        <v>6</v>
      </c>
      <c r="I1" t="s">
        <v>22</v>
      </c>
      <c r="J1" t="s">
        <v>23</v>
      </c>
      <c r="K1" s="3" t="s">
        <v>24</v>
      </c>
      <c r="L1" s="3" t="s">
        <v>25</v>
      </c>
      <c r="M1" t="s">
        <v>7</v>
      </c>
      <c r="N1" t="s">
        <v>8</v>
      </c>
      <c r="O1" t="s">
        <v>17</v>
      </c>
      <c r="P1" s="12"/>
      <c r="Q1" t="s">
        <v>21</v>
      </c>
      <c r="R1" t="s">
        <v>26</v>
      </c>
      <c r="S1" s="3" t="s">
        <v>27</v>
      </c>
    </row>
    <row r="2" spans="1:19" x14ac:dyDescent="0.3">
      <c r="A2">
        <v>1</v>
      </c>
      <c r="B2">
        <v>1</v>
      </c>
      <c r="C2">
        <v>1</v>
      </c>
      <c r="D2" t="s">
        <v>12</v>
      </c>
      <c r="F2" s="3">
        <v>2.0609999999999999</v>
      </c>
      <c r="G2" s="1">
        <v>0.4375</v>
      </c>
      <c r="H2" s="2" t="s">
        <v>19</v>
      </c>
      <c r="I2">
        <v>0.22500000000000001</v>
      </c>
      <c r="J2">
        <v>0.94899999999999995</v>
      </c>
      <c r="K2" s="3">
        <v>0.20799999999999999</v>
      </c>
      <c r="L2" s="3">
        <v>0.97599999999999998</v>
      </c>
      <c r="M2" s="1">
        <v>0.11874999999999999</v>
      </c>
      <c r="N2" s="2" t="s">
        <v>20</v>
      </c>
      <c r="O2" s="6"/>
      <c r="P2" s="12"/>
      <c r="Q2">
        <f t="shared" ref="Q2:Q25" si="0">SUM(I2,J2)</f>
        <v>1.1739999999999999</v>
      </c>
      <c r="R2" s="3">
        <f t="shared" ref="R2:R25" si="1">SUM(K2,L2)</f>
        <v>1.1839999999999999</v>
      </c>
      <c r="S2" s="9">
        <f>(Q2+R2)/2</f>
        <v>1.1789999999999998</v>
      </c>
    </row>
    <row r="3" spans="1:19" x14ac:dyDescent="0.3">
      <c r="A3">
        <v>2</v>
      </c>
      <c r="B3">
        <v>2</v>
      </c>
      <c r="C3">
        <v>2</v>
      </c>
      <c r="D3" t="s">
        <v>10</v>
      </c>
      <c r="F3" s="3">
        <v>2.0310000000000001</v>
      </c>
      <c r="I3">
        <v>0.223</v>
      </c>
      <c r="J3" s="3">
        <v>0.95</v>
      </c>
      <c r="K3" s="3">
        <v>0.22</v>
      </c>
      <c r="L3" s="3">
        <v>0.96599999999999997</v>
      </c>
      <c r="O3" s="6"/>
      <c r="P3" s="12"/>
      <c r="Q3">
        <f t="shared" si="0"/>
        <v>1.173</v>
      </c>
      <c r="R3" s="3">
        <f t="shared" si="1"/>
        <v>1.1859999999999999</v>
      </c>
      <c r="S3" s="9">
        <f t="shared" ref="S3:S25" si="2">(Q3+R3)/2</f>
        <v>1.1795</v>
      </c>
    </row>
    <row r="4" spans="1:19" x14ac:dyDescent="0.3">
      <c r="A4">
        <v>3</v>
      </c>
      <c r="B4">
        <v>3</v>
      </c>
      <c r="C4">
        <v>3</v>
      </c>
      <c r="D4" t="s">
        <v>16</v>
      </c>
      <c r="F4" s="3">
        <v>2.0103</v>
      </c>
      <c r="I4">
        <v>0.22500000000000001</v>
      </c>
      <c r="J4" s="3">
        <v>0.94699999999999995</v>
      </c>
      <c r="K4" s="3">
        <v>0.21199999999999999</v>
      </c>
      <c r="L4" s="3">
        <v>0.97499999999999998</v>
      </c>
      <c r="O4" s="6"/>
      <c r="P4" s="12"/>
      <c r="Q4">
        <f t="shared" si="0"/>
        <v>1.1719999999999999</v>
      </c>
      <c r="R4" s="3">
        <f t="shared" si="1"/>
        <v>1.1870000000000001</v>
      </c>
      <c r="S4" s="9">
        <f t="shared" si="2"/>
        <v>1.1795</v>
      </c>
    </row>
    <row r="5" spans="1:19" x14ac:dyDescent="0.3">
      <c r="A5">
        <v>4</v>
      </c>
      <c r="B5">
        <v>4</v>
      </c>
      <c r="C5">
        <v>4</v>
      </c>
      <c r="D5" t="s">
        <v>9</v>
      </c>
      <c r="F5" s="3">
        <v>2.0150000000000001</v>
      </c>
      <c r="I5">
        <v>0.22700000000000001</v>
      </c>
      <c r="J5">
        <v>0.94699999999999995</v>
      </c>
      <c r="K5" s="3">
        <v>0.21099999999999999</v>
      </c>
      <c r="L5" s="3">
        <v>0.97799999999999998</v>
      </c>
      <c r="O5" s="6"/>
      <c r="P5" s="12"/>
      <c r="Q5">
        <f t="shared" si="0"/>
        <v>1.1739999999999999</v>
      </c>
      <c r="R5" s="3">
        <f t="shared" si="1"/>
        <v>1.1890000000000001</v>
      </c>
      <c r="S5" s="9">
        <f t="shared" si="2"/>
        <v>1.1815</v>
      </c>
    </row>
    <row r="6" spans="1:19" x14ac:dyDescent="0.3">
      <c r="A6">
        <v>5</v>
      </c>
      <c r="B6">
        <v>5</v>
      </c>
      <c r="C6">
        <v>5</v>
      </c>
      <c r="D6" t="s">
        <v>13</v>
      </c>
      <c r="F6" s="3">
        <v>2.1030000000000002</v>
      </c>
      <c r="I6">
        <v>0.22600000000000001</v>
      </c>
      <c r="J6">
        <v>0.94499999999999995</v>
      </c>
      <c r="K6" s="3">
        <v>0.23100000000000001</v>
      </c>
      <c r="L6" s="3">
        <v>0.97299999999999998</v>
      </c>
      <c r="O6" s="6"/>
      <c r="P6" s="12"/>
      <c r="Q6">
        <f t="shared" si="0"/>
        <v>1.171</v>
      </c>
      <c r="R6" s="3">
        <f t="shared" si="1"/>
        <v>1.204</v>
      </c>
      <c r="S6" s="9">
        <f t="shared" si="2"/>
        <v>1.1875</v>
      </c>
    </row>
    <row r="7" spans="1:19" x14ac:dyDescent="0.3">
      <c r="A7">
        <v>11</v>
      </c>
      <c r="B7">
        <v>11</v>
      </c>
      <c r="C7" t="s">
        <v>14</v>
      </c>
      <c r="D7" s="4" t="s">
        <v>14</v>
      </c>
      <c r="E7" s="4"/>
      <c r="F7" s="10" t="s">
        <v>18</v>
      </c>
      <c r="G7" s="12"/>
      <c r="H7" s="12"/>
      <c r="I7" s="12">
        <v>0.38700000000000001</v>
      </c>
      <c r="J7" s="12">
        <v>0.79400000000000004</v>
      </c>
      <c r="K7" s="13">
        <v>0.39600000000000002</v>
      </c>
      <c r="L7" s="13">
        <v>0.79500000000000004</v>
      </c>
      <c r="P7" s="12"/>
      <c r="Q7" s="4">
        <f t="shared" si="0"/>
        <v>1.181</v>
      </c>
      <c r="R7" s="10">
        <f t="shared" si="1"/>
        <v>1.1910000000000001</v>
      </c>
      <c r="S7" s="11">
        <f t="shared" si="2"/>
        <v>1.1859999999999999</v>
      </c>
    </row>
    <row r="8" spans="1:19" x14ac:dyDescent="0.3">
      <c r="A8">
        <v>6</v>
      </c>
      <c r="B8">
        <v>6</v>
      </c>
      <c r="C8">
        <v>6</v>
      </c>
      <c r="D8" t="s">
        <v>11</v>
      </c>
      <c r="F8" s="3">
        <v>2.1720000000000002</v>
      </c>
      <c r="I8">
        <v>0.22600000000000001</v>
      </c>
      <c r="J8" s="3">
        <v>0.94699999999999995</v>
      </c>
      <c r="K8" s="3">
        <v>0.216</v>
      </c>
      <c r="L8" s="3">
        <v>0.97</v>
      </c>
      <c r="O8" s="6"/>
      <c r="P8" s="12"/>
      <c r="Q8">
        <f t="shared" si="0"/>
        <v>1.173</v>
      </c>
      <c r="R8" s="3">
        <f t="shared" si="1"/>
        <v>1.1859999999999999</v>
      </c>
      <c r="S8" s="9">
        <f t="shared" si="2"/>
        <v>1.1795</v>
      </c>
    </row>
    <row r="9" spans="1:19" x14ac:dyDescent="0.3">
      <c r="A9">
        <v>7</v>
      </c>
      <c r="B9">
        <v>7</v>
      </c>
      <c r="C9">
        <v>7</v>
      </c>
      <c r="D9" s="5" t="s">
        <v>15</v>
      </c>
      <c r="F9" s="3">
        <v>2.0609999999999999</v>
      </c>
      <c r="I9">
        <v>0.22600000000000001</v>
      </c>
      <c r="J9" s="3">
        <v>0.95</v>
      </c>
      <c r="K9" s="3">
        <v>0.217</v>
      </c>
      <c r="L9" s="3">
        <v>0.97</v>
      </c>
      <c r="O9" s="6"/>
      <c r="P9" s="12"/>
      <c r="Q9">
        <f t="shared" si="0"/>
        <v>1.1759999999999999</v>
      </c>
      <c r="R9" s="3">
        <f t="shared" si="1"/>
        <v>1.1870000000000001</v>
      </c>
      <c r="S9" s="9">
        <f t="shared" si="2"/>
        <v>1.1815</v>
      </c>
    </row>
    <row r="10" spans="1:19" x14ac:dyDescent="0.3">
      <c r="A10">
        <v>8</v>
      </c>
      <c r="B10">
        <v>8</v>
      </c>
      <c r="C10">
        <v>8</v>
      </c>
      <c r="D10" t="s">
        <v>10</v>
      </c>
      <c r="F10" s="3">
        <v>2.0259999999999998</v>
      </c>
      <c r="I10">
        <v>0.22600000000000001</v>
      </c>
      <c r="J10">
        <v>0.94699999999999995</v>
      </c>
      <c r="K10" s="3">
        <v>0.217</v>
      </c>
      <c r="L10" s="3">
        <v>0.97</v>
      </c>
      <c r="O10" s="6"/>
      <c r="P10" s="12"/>
      <c r="Q10">
        <f t="shared" si="0"/>
        <v>1.173</v>
      </c>
      <c r="R10" s="3">
        <f t="shared" si="1"/>
        <v>1.1870000000000001</v>
      </c>
      <c r="S10" s="9">
        <f t="shared" si="2"/>
        <v>1.1800000000000002</v>
      </c>
    </row>
    <row r="11" spans="1:19" x14ac:dyDescent="0.3">
      <c r="A11">
        <v>9</v>
      </c>
      <c r="B11">
        <v>9</v>
      </c>
      <c r="C11">
        <v>9</v>
      </c>
      <c r="D11" t="s">
        <v>15</v>
      </c>
      <c r="F11" s="3">
        <v>2.0259999999999998</v>
      </c>
      <c r="I11">
        <v>0.22600000000000001</v>
      </c>
      <c r="J11" s="3">
        <v>0.95</v>
      </c>
      <c r="K11" s="3">
        <v>0.218</v>
      </c>
      <c r="L11" s="3">
        <v>0.96799999999999997</v>
      </c>
      <c r="O11" s="6"/>
      <c r="P11" s="12"/>
      <c r="Q11">
        <f t="shared" si="0"/>
        <v>1.1759999999999999</v>
      </c>
      <c r="R11" s="3">
        <f t="shared" si="1"/>
        <v>1.1859999999999999</v>
      </c>
      <c r="S11" s="9">
        <f t="shared" si="2"/>
        <v>1.181</v>
      </c>
    </row>
    <row r="12" spans="1:19" x14ac:dyDescent="0.3">
      <c r="A12">
        <v>10</v>
      </c>
      <c r="B12">
        <v>10</v>
      </c>
      <c r="C12">
        <v>10</v>
      </c>
      <c r="D12" t="s">
        <v>9</v>
      </c>
      <c r="F12" s="3">
        <v>2.0499999999999998</v>
      </c>
      <c r="I12">
        <v>0.22600000000000001</v>
      </c>
      <c r="J12" s="3">
        <v>0.95099999999999996</v>
      </c>
      <c r="K12" s="3">
        <v>0.222</v>
      </c>
      <c r="L12" s="3">
        <v>0.96499999999999997</v>
      </c>
      <c r="O12" s="6"/>
      <c r="P12" s="12"/>
      <c r="Q12">
        <f t="shared" si="0"/>
        <v>1.177</v>
      </c>
      <c r="R12" s="3">
        <f t="shared" si="1"/>
        <v>1.1870000000000001</v>
      </c>
      <c r="S12" s="9">
        <f t="shared" si="2"/>
        <v>1.1819999999999999</v>
      </c>
    </row>
    <row r="13" spans="1:19" x14ac:dyDescent="0.3">
      <c r="A13">
        <v>12</v>
      </c>
      <c r="B13">
        <v>12</v>
      </c>
      <c r="C13" t="s">
        <v>14</v>
      </c>
      <c r="D13" s="4" t="s">
        <v>14</v>
      </c>
      <c r="E13" s="4"/>
      <c r="F13" s="10"/>
      <c r="G13" s="12"/>
      <c r="H13" s="12"/>
      <c r="I13" s="7">
        <f>AVERAGE(I7,I25,I19)</f>
        <v>0.41299999999999998</v>
      </c>
      <c r="J13" s="8">
        <f>AVERAGE(J7,J19,J25)</f>
        <v>0.76833333333333342</v>
      </c>
      <c r="K13" s="8">
        <v>0.39700000000000002</v>
      </c>
      <c r="L13" s="8">
        <v>0.79600000000000004</v>
      </c>
      <c r="P13" s="12"/>
      <c r="Q13" s="10">
        <f t="shared" si="0"/>
        <v>1.1813333333333333</v>
      </c>
      <c r="R13" s="10">
        <f t="shared" si="1"/>
        <v>1.1930000000000001</v>
      </c>
      <c r="S13" s="11">
        <f>(Q13+R13)/2</f>
        <v>1.1871666666666667</v>
      </c>
    </row>
    <row r="14" spans="1:19" x14ac:dyDescent="0.3">
      <c r="A14">
        <v>16</v>
      </c>
      <c r="B14">
        <v>17</v>
      </c>
      <c r="C14">
        <v>11</v>
      </c>
      <c r="D14" t="s">
        <v>16</v>
      </c>
      <c r="F14" s="3">
        <v>2.0499999999999998</v>
      </c>
      <c r="I14" s="7">
        <v>0.22500000000000001</v>
      </c>
      <c r="J14" s="8">
        <v>0.95099999999999996</v>
      </c>
      <c r="K14" s="8">
        <v>0.223</v>
      </c>
      <c r="L14" s="8">
        <v>0.95399999999999996</v>
      </c>
      <c r="O14" s="6"/>
      <c r="P14" s="12"/>
      <c r="Q14">
        <f t="shared" si="0"/>
        <v>1.1759999999999999</v>
      </c>
      <c r="R14" s="3">
        <f t="shared" si="1"/>
        <v>1.177</v>
      </c>
      <c r="S14" s="9">
        <f t="shared" si="2"/>
        <v>1.1764999999999999</v>
      </c>
    </row>
    <row r="15" spans="1:19" x14ac:dyDescent="0.3">
      <c r="A15">
        <v>16</v>
      </c>
      <c r="B15">
        <v>18</v>
      </c>
      <c r="C15">
        <v>12</v>
      </c>
      <c r="D15" t="s">
        <v>13</v>
      </c>
      <c r="F15" s="3">
        <v>2.052</v>
      </c>
      <c r="I15">
        <v>0.224</v>
      </c>
      <c r="J15" s="3">
        <v>0.95099999999999996</v>
      </c>
      <c r="K15" s="3">
        <v>0.20899999999999999</v>
      </c>
      <c r="L15" s="3">
        <v>0.97799999999999998</v>
      </c>
      <c r="O15" s="6"/>
      <c r="P15" s="12"/>
      <c r="Q15">
        <f t="shared" si="0"/>
        <v>1.175</v>
      </c>
      <c r="R15" s="3">
        <f t="shared" si="1"/>
        <v>1.1870000000000001</v>
      </c>
      <c r="S15" s="9">
        <f t="shared" si="2"/>
        <v>1.181</v>
      </c>
    </row>
    <row r="16" spans="1:19" x14ac:dyDescent="0.3">
      <c r="A16">
        <v>16</v>
      </c>
      <c r="B16">
        <v>19</v>
      </c>
      <c r="C16">
        <v>13</v>
      </c>
      <c r="D16" t="s">
        <v>12</v>
      </c>
      <c r="F16" s="3">
        <v>2.12</v>
      </c>
      <c r="I16">
        <v>0.22600000000000001</v>
      </c>
      <c r="J16" s="3">
        <v>0.95099999999999996</v>
      </c>
      <c r="K16" s="3">
        <v>0.192</v>
      </c>
      <c r="L16" s="3">
        <v>0.99399999999999999</v>
      </c>
      <c r="O16" s="6"/>
      <c r="P16" s="12"/>
      <c r="Q16">
        <f t="shared" si="0"/>
        <v>1.177</v>
      </c>
      <c r="R16" s="3">
        <f t="shared" si="1"/>
        <v>1.1859999999999999</v>
      </c>
      <c r="S16" s="9">
        <f>(Q16+R16)/2</f>
        <v>1.1815</v>
      </c>
    </row>
    <row r="17" spans="1:19" x14ac:dyDescent="0.3">
      <c r="A17">
        <v>16</v>
      </c>
      <c r="B17">
        <v>20</v>
      </c>
      <c r="C17">
        <v>14</v>
      </c>
      <c r="D17" s="5" t="s">
        <v>11</v>
      </c>
      <c r="F17" s="3">
        <v>2.0459999999999998</v>
      </c>
      <c r="I17">
        <v>0.22600000000000001</v>
      </c>
      <c r="J17" s="3">
        <v>0.94899999999999995</v>
      </c>
      <c r="K17" s="3">
        <v>0.215</v>
      </c>
      <c r="L17" s="3">
        <v>0.97199999999999998</v>
      </c>
      <c r="O17" s="6"/>
      <c r="P17" s="12"/>
      <c r="Q17">
        <f t="shared" si="0"/>
        <v>1.175</v>
      </c>
      <c r="R17" s="3">
        <f t="shared" si="1"/>
        <v>1.1870000000000001</v>
      </c>
      <c r="S17" s="9">
        <f>(Q17+R17)/2</f>
        <v>1.181</v>
      </c>
    </row>
    <row r="18" spans="1:19" x14ac:dyDescent="0.3">
      <c r="A18">
        <v>16</v>
      </c>
      <c r="B18">
        <v>21</v>
      </c>
      <c r="C18">
        <v>15</v>
      </c>
      <c r="D18" t="s">
        <v>15</v>
      </c>
      <c r="F18" s="3">
        <v>2.0449999999999999</v>
      </c>
      <c r="I18">
        <v>0.22500000000000001</v>
      </c>
      <c r="J18" s="3">
        <v>0.94599999999999995</v>
      </c>
      <c r="K18" s="3">
        <v>0.22</v>
      </c>
      <c r="L18" s="3">
        <v>0.96699999999999997</v>
      </c>
      <c r="O18" s="6"/>
      <c r="P18" s="12"/>
      <c r="Q18">
        <f t="shared" si="0"/>
        <v>1.171</v>
      </c>
      <c r="R18" s="3">
        <f t="shared" si="1"/>
        <v>1.1870000000000001</v>
      </c>
      <c r="S18" s="9">
        <f t="shared" si="2"/>
        <v>1.179</v>
      </c>
    </row>
    <row r="19" spans="1:19" x14ac:dyDescent="0.3">
      <c r="A19">
        <v>16</v>
      </c>
      <c r="B19">
        <v>27</v>
      </c>
      <c r="C19" t="s">
        <v>14</v>
      </c>
      <c r="D19" s="4" t="s">
        <v>14</v>
      </c>
      <c r="E19" s="4"/>
      <c r="F19" s="10" t="s">
        <v>18</v>
      </c>
      <c r="I19" s="7">
        <v>0.42599999999999999</v>
      </c>
      <c r="J19" s="8">
        <v>0.75600000000000001</v>
      </c>
      <c r="K19" s="8">
        <v>0.439</v>
      </c>
      <c r="L19" s="8">
        <v>0.752</v>
      </c>
      <c r="P19" s="12"/>
      <c r="Q19" s="4">
        <f t="shared" si="0"/>
        <v>1.1819999999999999</v>
      </c>
      <c r="R19" s="10">
        <f t="shared" si="1"/>
        <v>1.1910000000000001</v>
      </c>
      <c r="S19" s="11">
        <f t="shared" si="2"/>
        <v>1.1865000000000001</v>
      </c>
    </row>
    <row r="20" spans="1:19" x14ac:dyDescent="0.3">
      <c r="A20">
        <v>16</v>
      </c>
      <c r="B20">
        <v>22</v>
      </c>
      <c r="C20">
        <v>16</v>
      </c>
      <c r="D20" t="s">
        <v>12</v>
      </c>
      <c r="F20" s="3">
        <v>2.0339999999999998</v>
      </c>
      <c r="I20" s="7">
        <v>0.22600000000000001</v>
      </c>
      <c r="J20" s="8">
        <v>0.95</v>
      </c>
      <c r="K20" s="8">
        <v>0.21199999999999999</v>
      </c>
      <c r="L20" s="8">
        <v>0.97399999999999998</v>
      </c>
      <c r="O20" s="6"/>
      <c r="P20" s="12"/>
      <c r="Q20">
        <f t="shared" si="0"/>
        <v>1.1759999999999999</v>
      </c>
      <c r="R20" s="3">
        <f t="shared" si="1"/>
        <v>1.1859999999999999</v>
      </c>
      <c r="S20" s="3">
        <f t="shared" si="2"/>
        <v>1.181</v>
      </c>
    </row>
    <row r="21" spans="1:19" x14ac:dyDescent="0.3">
      <c r="A21">
        <v>16</v>
      </c>
      <c r="B21">
        <v>23</v>
      </c>
      <c r="C21">
        <v>17</v>
      </c>
      <c r="D21" t="s">
        <v>9</v>
      </c>
      <c r="F21" s="3">
        <v>2.044</v>
      </c>
      <c r="I21">
        <v>0.22500000000000001</v>
      </c>
      <c r="J21" s="3">
        <v>0.95</v>
      </c>
      <c r="K21" s="3">
        <v>0.224</v>
      </c>
      <c r="L21" s="3">
        <v>0.96499999999999997</v>
      </c>
      <c r="O21" s="6"/>
      <c r="P21" s="12"/>
      <c r="Q21">
        <f t="shared" si="0"/>
        <v>1.175</v>
      </c>
      <c r="R21" s="3">
        <f t="shared" si="1"/>
        <v>1.1890000000000001</v>
      </c>
      <c r="S21" s="3">
        <f t="shared" si="2"/>
        <v>1.1819999999999999</v>
      </c>
    </row>
    <row r="22" spans="1:19" x14ac:dyDescent="0.3">
      <c r="A22">
        <v>16</v>
      </c>
      <c r="B22">
        <v>24</v>
      </c>
      <c r="C22">
        <v>18</v>
      </c>
      <c r="D22" t="s">
        <v>10</v>
      </c>
      <c r="F22" s="3">
        <v>2.0139999999999998</v>
      </c>
      <c r="I22">
        <v>0.22600000000000001</v>
      </c>
      <c r="J22" s="3">
        <v>0.94899999999999995</v>
      </c>
      <c r="K22" s="3">
        <v>0.20899999999999999</v>
      </c>
      <c r="L22" s="3">
        <v>0.97899999999999998</v>
      </c>
      <c r="O22" s="6"/>
      <c r="P22" s="12"/>
      <c r="Q22">
        <f t="shared" si="0"/>
        <v>1.175</v>
      </c>
      <c r="R22" s="3">
        <f t="shared" si="1"/>
        <v>1.1879999999999999</v>
      </c>
      <c r="S22" s="3">
        <f t="shared" si="2"/>
        <v>1.1815</v>
      </c>
    </row>
    <row r="23" spans="1:19" x14ac:dyDescent="0.3">
      <c r="A23">
        <v>16</v>
      </c>
      <c r="B23">
        <v>25</v>
      </c>
      <c r="C23">
        <v>19</v>
      </c>
      <c r="D23" t="s">
        <v>16</v>
      </c>
      <c r="F23" s="3">
        <v>2.0550000000000002</v>
      </c>
      <c r="I23">
        <v>0.22500000000000001</v>
      </c>
      <c r="J23" s="3">
        <v>0.95</v>
      </c>
      <c r="K23" s="3">
        <v>0.22700000000000001</v>
      </c>
      <c r="L23" s="3">
        <v>0.96099999999999997</v>
      </c>
      <c r="O23" s="6"/>
      <c r="P23" s="12"/>
      <c r="Q23">
        <f t="shared" si="0"/>
        <v>1.175</v>
      </c>
      <c r="R23" s="3">
        <f t="shared" si="1"/>
        <v>1.1879999999999999</v>
      </c>
      <c r="S23" s="3">
        <f t="shared" si="2"/>
        <v>1.1815</v>
      </c>
    </row>
    <row r="24" spans="1:19" x14ac:dyDescent="0.3">
      <c r="A24">
        <v>16</v>
      </c>
      <c r="B24">
        <v>26</v>
      </c>
      <c r="C24">
        <v>20</v>
      </c>
      <c r="D24" t="s">
        <v>13</v>
      </c>
      <c r="F24" s="3">
        <v>2.024</v>
      </c>
      <c r="I24">
        <v>0.22700000000000001</v>
      </c>
      <c r="J24" s="3">
        <v>0.94799999999999995</v>
      </c>
      <c r="K24" s="3">
        <v>0.21099999999999999</v>
      </c>
      <c r="L24" s="3">
        <v>0.97599999999999998</v>
      </c>
      <c r="O24" s="6"/>
      <c r="P24" s="12"/>
      <c r="Q24">
        <f t="shared" si="0"/>
        <v>1.175</v>
      </c>
      <c r="R24" s="3">
        <f t="shared" si="1"/>
        <v>1.1870000000000001</v>
      </c>
      <c r="S24" s="3">
        <f t="shared" si="2"/>
        <v>1.181</v>
      </c>
    </row>
    <row r="25" spans="1:19" x14ac:dyDescent="0.3">
      <c r="A25">
        <v>16</v>
      </c>
      <c r="B25">
        <v>28</v>
      </c>
      <c r="C25" t="s">
        <v>14</v>
      </c>
      <c r="D25" s="14" t="s">
        <v>14</v>
      </c>
      <c r="E25" s="14"/>
      <c r="F25" s="15"/>
      <c r="I25">
        <v>0.42599999999999999</v>
      </c>
      <c r="J25" s="3">
        <v>0.755</v>
      </c>
      <c r="K25" s="3">
        <v>0.441</v>
      </c>
      <c r="L25" s="3">
        <v>0.753</v>
      </c>
      <c r="P25" s="12"/>
      <c r="Q25" s="4">
        <f t="shared" si="0"/>
        <v>1.181</v>
      </c>
      <c r="R25" s="10">
        <f t="shared" si="1"/>
        <v>1.194</v>
      </c>
      <c r="S25" s="10">
        <f t="shared" si="2"/>
        <v>1.1875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6E4F-0C7E-4ED7-94CE-8D9008DC0B40}">
  <dimension ref="A1:F25"/>
  <sheetViews>
    <sheetView tabSelected="1" workbookViewId="0">
      <selection activeCell="H21" sqref="H21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3" width="10.5546875" bestFit="1" customWidth="1"/>
    <col min="4" max="4" width="8.88671875" style="17"/>
  </cols>
  <sheetData>
    <row r="1" spans="1:6" x14ac:dyDescent="0.3">
      <c r="A1" t="s">
        <v>0</v>
      </c>
      <c r="B1" t="s">
        <v>1</v>
      </c>
      <c r="C1" t="s">
        <v>2</v>
      </c>
      <c r="D1" s="17" t="s">
        <v>28</v>
      </c>
      <c r="E1" s="16" t="s">
        <v>30</v>
      </c>
      <c r="F1" s="16" t="s">
        <v>29</v>
      </c>
    </row>
    <row r="2" spans="1:6" x14ac:dyDescent="0.3">
      <c r="A2">
        <v>1</v>
      </c>
      <c r="B2">
        <v>1</v>
      </c>
      <c r="C2">
        <v>1</v>
      </c>
      <c r="D2" s="17">
        <v>0.39583333333333331</v>
      </c>
      <c r="E2" s="17">
        <f>D2-D2</f>
        <v>0</v>
      </c>
      <c r="F2" s="18">
        <f>E2*24</f>
        <v>0</v>
      </c>
    </row>
    <row r="3" spans="1:6" x14ac:dyDescent="0.3">
      <c r="A3">
        <v>2</v>
      </c>
      <c r="B3">
        <v>2</v>
      </c>
      <c r="C3">
        <v>2</v>
      </c>
      <c r="D3" s="17">
        <v>0.40555555555555556</v>
      </c>
      <c r="E3" s="17">
        <f>D3-$D$2</f>
        <v>9.7222222222222432E-3</v>
      </c>
      <c r="F3" s="18">
        <f t="shared" ref="F3:F25" si="0">E3*24</f>
        <v>0.23333333333333384</v>
      </c>
    </row>
    <row r="4" spans="1:6" x14ac:dyDescent="0.3">
      <c r="A4">
        <v>3</v>
      </c>
      <c r="B4">
        <v>3</v>
      </c>
      <c r="C4">
        <v>3</v>
      </c>
      <c r="D4" s="17">
        <v>0.42708333333333331</v>
      </c>
      <c r="E4" s="17">
        <f>D4-$D$2</f>
        <v>3.125E-2</v>
      </c>
      <c r="F4" s="18">
        <f t="shared" si="0"/>
        <v>0.75</v>
      </c>
    </row>
    <row r="5" spans="1:6" x14ac:dyDescent="0.3">
      <c r="A5">
        <v>4</v>
      </c>
      <c r="B5">
        <v>4</v>
      </c>
      <c r="C5">
        <v>4</v>
      </c>
      <c r="D5" s="17">
        <v>0.4375</v>
      </c>
      <c r="E5" s="17">
        <f t="shared" ref="E5:E7" si="1">D5-$D$2</f>
        <v>4.1666666666666685E-2</v>
      </c>
      <c r="F5" s="18">
        <f t="shared" si="0"/>
        <v>1.0000000000000004</v>
      </c>
    </row>
    <row r="6" spans="1:6" x14ac:dyDescent="0.3">
      <c r="A6">
        <v>5</v>
      </c>
      <c r="B6">
        <v>5</v>
      </c>
      <c r="C6">
        <v>5</v>
      </c>
      <c r="D6" s="17">
        <v>0.44791666666666669</v>
      </c>
      <c r="E6" s="17">
        <f t="shared" si="1"/>
        <v>5.208333333333337E-2</v>
      </c>
      <c r="F6" s="18">
        <f t="shared" si="0"/>
        <v>1.2500000000000009</v>
      </c>
    </row>
    <row r="7" spans="1:6" x14ac:dyDescent="0.3">
      <c r="A7">
        <v>11</v>
      </c>
      <c r="B7">
        <v>11</v>
      </c>
      <c r="C7" t="s">
        <v>14</v>
      </c>
      <c r="D7" s="17">
        <v>0.45833333333333331</v>
      </c>
      <c r="E7" s="17">
        <f t="shared" si="1"/>
        <v>6.25E-2</v>
      </c>
      <c r="F7" s="18">
        <f t="shared" si="0"/>
        <v>1.5</v>
      </c>
    </row>
    <row r="8" spans="1:6" x14ac:dyDescent="0.3">
      <c r="A8">
        <v>6</v>
      </c>
      <c r="B8">
        <v>6</v>
      </c>
      <c r="C8">
        <v>6</v>
      </c>
      <c r="D8" s="17">
        <v>0.41597222222222224</v>
      </c>
      <c r="E8" s="17">
        <f>D8-$D$2</f>
        <v>2.0138888888888928E-2</v>
      </c>
      <c r="F8" s="18">
        <f t="shared" si="0"/>
        <v>0.48333333333333428</v>
      </c>
    </row>
    <row r="9" spans="1:6" x14ac:dyDescent="0.3">
      <c r="A9">
        <v>7</v>
      </c>
      <c r="B9">
        <v>7</v>
      </c>
      <c r="C9">
        <v>7</v>
      </c>
      <c r="D9" s="17">
        <v>0.47916666666666669</v>
      </c>
      <c r="E9" s="17">
        <f>D9-$D$2</f>
        <v>8.333333333333337E-2</v>
      </c>
      <c r="F9" s="18">
        <f t="shared" si="0"/>
        <v>2.0000000000000009</v>
      </c>
    </row>
    <row r="10" spans="1:6" x14ac:dyDescent="0.3">
      <c r="A10">
        <v>8</v>
      </c>
      <c r="B10">
        <v>8</v>
      </c>
      <c r="C10">
        <v>8</v>
      </c>
      <c r="D10" s="17">
        <v>0.48958333333333331</v>
      </c>
      <c r="E10" s="17">
        <f>D10-$D$2</f>
        <v>9.375E-2</v>
      </c>
      <c r="F10" s="18">
        <f t="shared" si="0"/>
        <v>2.25</v>
      </c>
    </row>
    <row r="11" spans="1:6" x14ac:dyDescent="0.3">
      <c r="A11">
        <v>9</v>
      </c>
      <c r="B11">
        <v>9</v>
      </c>
      <c r="C11">
        <v>9</v>
      </c>
      <c r="D11" s="17">
        <v>0.5</v>
      </c>
      <c r="E11" s="17">
        <f>D11-$D$2</f>
        <v>0.10416666666666669</v>
      </c>
      <c r="F11" s="18">
        <f t="shared" si="0"/>
        <v>2.5000000000000004</v>
      </c>
    </row>
    <row r="12" spans="1:6" x14ac:dyDescent="0.3">
      <c r="A12">
        <v>10</v>
      </c>
      <c r="B12">
        <v>10</v>
      </c>
      <c r="C12">
        <v>10</v>
      </c>
      <c r="D12" s="17">
        <v>0.51041666666666663</v>
      </c>
      <c r="E12" s="17">
        <f>D12-$D$2</f>
        <v>0.11458333333333331</v>
      </c>
      <c r="F12" s="18">
        <f t="shared" si="0"/>
        <v>2.7499999999999996</v>
      </c>
    </row>
    <row r="13" spans="1:6" x14ac:dyDescent="0.3">
      <c r="A13">
        <v>12</v>
      </c>
      <c r="B13">
        <v>12</v>
      </c>
      <c r="C13" t="s">
        <v>14</v>
      </c>
      <c r="D13" s="17">
        <v>0.52083333333333337</v>
      </c>
      <c r="E13" s="17">
        <f>D13-$D$2</f>
        <v>0.12500000000000006</v>
      </c>
      <c r="F13" s="18">
        <f t="shared" si="0"/>
        <v>3.0000000000000013</v>
      </c>
    </row>
    <row r="14" spans="1:6" x14ac:dyDescent="0.3">
      <c r="A14">
        <v>16</v>
      </c>
      <c r="B14">
        <v>17</v>
      </c>
      <c r="C14">
        <v>11</v>
      </c>
      <c r="D14" s="17">
        <v>0.54166666666666663</v>
      </c>
      <c r="E14" s="17">
        <f>D14-$D$2</f>
        <v>0.14583333333333331</v>
      </c>
      <c r="F14" s="18">
        <f t="shared" si="0"/>
        <v>3.4999999999999996</v>
      </c>
    </row>
    <row r="15" spans="1:6" x14ac:dyDescent="0.3">
      <c r="A15">
        <v>16</v>
      </c>
      <c r="B15">
        <v>18</v>
      </c>
      <c r="C15">
        <v>12</v>
      </c>
      <c r="D15" s="17">
        <v>0.55208333333333337</v>
      </c>
      <c r="E15" s="17">
        <f>D15-$D$2</f>
        <v>0.15625000000000006</v>
      </c>
      <c r="F15" s="18">
        <f t="shared" si="0"/>
        <v>3.7500000000000013</v>
      </c>
    </row>
    <row r="16" spans="1:6" x14ac:dyDescent="0.3">
      <c r="A16">
        <v>16</v>
      </c>
      <c r="B16">
        <v>19</v>
      </c>
      <c r="C16">
        <v>13</v>
      </c>
      <c r="D16" s="17">
        <v>0.5625</v>
      </c>
      <c r="E16" s="17">
        <f>D16-$D$2</f>
        <v>0.16666666666666669</v>
      </c>
      <c r="F16" s="18">
        <f t="shared" si="0"/>
        <v>4</v>
      </c>
    </row>
    <row r="17" spans="1:6" x14ac:dyDescent="0.3">
      <c r="A17">
        <v>16</v>
      </c>
      <c r="B17">
        <v>20</v>
      </c>
      <c r="C17">
        <v>14</v>
      </c>
      <c r="D17" s="17">
        <v>0.57291666666666663</v>
      </c>
      <c r="E17" s="17">
        <f>D17-$D$2</f>
        <v>0.17708333333333331</v>
      </c>
      <c r="F17" s="18">
        <f t="shared" si="0"/>
        <v>4.25</v>
      </c>
    </row>
    <row r="18" spans="1:6" x14ac:dyDescent="0.3">
      <c r="A18">
        <v>16</v>
      </c>
      <c r="B18">
        <v>21</v>
      </c>
      <c r="C18">
        <v>15</v>
      </c>
      <c r="D18" s="17">
        <v>0.58333333333333337</v>
      </c>
      <c r="E18" s="17">
        <f>D18-$D$2</f>
        <v>0.18750000000000006</v>
      </c>
      <c r="F18" s="18">
        <f t="shared" si="0"/>
        <v>4.5000000000000018</v>
      </c>
    </row>
    <row r="19" spans="1:6" x14ac:dyDescent="0.3">
      <c r="A19">
        <v>16</v>
      </c>
      <c r="B19">
        <v>27</v>
      </c>
      <c r="C19" t="s">
        <v>14</v>
      </c>
      <c r="D19" s="17">
        <v>0.59375</v>
      </c>
      <c r="E19" s="17">
        <f>D19-$D$2</f>
        <v>0.19791666666666669</v>
      </c>
      <c r="F19" s="18">
        <f t="shared" si="0"/>
        <v>4.75</v>
      </c>
    </row>
    <row r="20" spans="1:6" x14ac:dyDescent="0.3">
      <c r="A20">
        <v>16</v>
      </c>
      <c r="B20">
        <v>22</v>
      </c>
      <c r="C20">
        <v>16</v>
      </c>
      <c r="D20" s="17">
        <v>0.61458333333333337</v>
      </c>
      <c r="E20" s="17">
        <f>D20-$D$2</f>
        <v>0.21875000000000006</v>
      </c>
      <c r="F20" s="18">
        <f t="shared" si="0"/>
        <v>5.2500000000000018</v>
      </c>
    </row>
    <row r="21" spans="1:6" x14ac:dyDescent="0.3">
      <c r="A21">
        <v>16</v>
      </c>
      <c r="B21">
        <v>23</v>
      </c>
      <c r="C21">
        <v>17</v>
      </c>
      <c r="D21" s="17">
        <v>0.625</v>
      </c>
      <c r="E21" s="17">
        <f>D21-$D$2</f>
        <v>0.22916666666666669</v>
      </c>
      <c r="F21" s="18">
        <f t="shared" si="0"/>
        <v>5.5</v>
      </c>
    </row>
    <row r="22" spans="1:6" x14ac:dyDescent="0.3">
      <c r="A22">
        <v>16</v>
      </c>
      <c r="B22">
        <v>24</v>
      </c>
      <c r="C22">
        <v>18</v>
      </c>
      <c r="D22" s="17">
        <v>0.63541666666666696</v>
      </c>
      <c r="E22" s="17">
        <f>D22-$D$2</f>
        <v>0.23958333333333365</v>
      </c>
      <c r="F22" s="18">
        <f t="shared" si="0"/>
        <v>5.7500000000000071</v>
      </c>
    </row>
    <row r="23" spans="1:6" x14ac:dyDescent="0.3">
      <c r="A23">
        <v>16</v>
      </c>
      <c r="B23">
        <v>25</v>
      </c>
      <c r="C23">
        <v>19</v>
      </c>
      <c r="D23" s="17">
        <v>0.64583333333333304</v>
      </c>
      <c r="E23" s="17">
        <f>D23-$D$2</f>
        <v>0.24999999999999972</v>
      </c>
      <c r="F23" s="18">
        <f t="shared" si="0"/>
        <v>5.9999999999999929</v>
      </c>
    </row>
    <row r="24" spans="1:6" x14ac:dyDescent="0.3">
      <c r="A24">
        <v>16</v>
      </c>
      <c r="B24">
        <v>26</v>
      </c>
      <c r="C24">
        <v>20</v>
      </c>
      <c r="D24" s="17">
        <v>0.65625</v>
      </c>
      <c r="E24" s="17">
        <f>D24-$D$2</f>
        <v>0.26041666666666669</v>
      </c>
      <c r="F24" s="18">
        <f t="shared" si="0"/>
        <v>6.25</v>
      </c>
    </row>
    <row r="25" spans="1:6" x14ac:dyDescent="0.3">
      <c r="A25">
        <v>16</v>
      </c>
      <c r="B25">
        <v>28</v>
      </c>
      <c r="C25" t="s">
        <v>14</v>
      </c>
      <c r="D25" s="17">
        <v>0.66666666666666696</v>
      </c>
      <c r="E25" s="17">
        <f>D25-$D$2</f>
        <v>0.27083333333333365</v>
      </c>
      <c r="F25" s="18">
        <f t="shared" si="0"/>
        <v>6.5000000000000071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Startimes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2026-03-17T13:06:42Z</dcterms:modified>
</cp:coreProperties>
</file>