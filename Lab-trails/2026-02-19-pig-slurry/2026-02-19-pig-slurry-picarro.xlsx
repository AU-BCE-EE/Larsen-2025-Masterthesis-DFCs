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2-19-pig-slurry\"/>
    </mc:Choice>
  </mc:AlternateContent>
  <xr:revisionPtr revIDLastSave="0" documentId="13_ncr:1_{42011724-95C2-4AFA-A1A1-4E9C554DFD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J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tc={8DC1FA48-6C73-43B8-B575-39BC1BCA9B35}</author>
    <author>tc={41F19D6E-E99D-4BC4-9CF8-03971525C4BB}</author>
    <author>tc={34F919C0-E213-42BB-B018-7CF158825172}</author>
    <author>tc={9EFC68A0-E0CF-42A9-8A43-AB7809A53DCD}</author>
    <author>tc={BD837BDB-798F-46E2-9B1E-095AD2C34354}</author>
    <author>tc={74A47A3C-9B82-4D0E-8273-A61F47053664}</author>
  </authors>
  <commentList>
    <comment ref="A1" authorId="0" shapeId="0" xr:uid="{8DC1FA48-6C73-43B8-B575-39BC1BCA9B35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General observations:
- first cycle was changed from std - Jar 6 was put after 2 to test the picarro early (std most sure emission source). As this one provided a realistic meausrement it was propoed initial low concentrations of 1 and 2 stemmed from initial adsorption in the system
- slurry had visibly better penetration in the packed soil samples</t>
      </text>
    </comment>
    <comment ref="O1" authorId="1" shapeId="0" xr:uid="{41F19D6E-E99D-4BC4-9CF8-03971525C4BB}">
      <text>
        <t>[Threaded comment]
Your version of Excel allows you to read this threaded comment; however, any edits to it will get removed if the file is opened in a newer version of Excel. Learn more: https://go.microsoft.com/fwlink/?linkid=870924
Comment:
    Whether the notes on the samples were aligned with the sheet</t>
      </text>
    </comment>
    <comment ref="G2" authorId="2" shapeId="0" xr:uid="{34F919C0-E213-42BB-B018-7CF15882517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exact time - need to go into file and find valve 1 for exact</t>
      </text>
    </comment>
    <comment ref="M2" authorId="3" shapeId="0" xr:uid="{9EFC68A0-E0CF-42A9-8A43-AB7809A53DC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 time when starting to measure the valves, not the end of the last cycle</t>
      </text>
    </comment>
    <comment ref="F3" authorId="4" shapeId="0" xr:uid="{BD837BDB-798F-46E2-9B1E-095AD2C3435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red plastic piece of this one was not replaced with glass</t>
      </text>
    </comment>
    <comment ref="I14" authorId="5" shapeId="0" xr:uid="{74A47A3C-9B82-4D0E-8273-A61F47053664}">
      <text>
        <t>[Threaded comment]
Your version of Excel allows you to read this threaded comment; however, any edits to it will get removed if the file is opened in a newer version of Excel. Learn more: https://go.microsoft.com/fwlink/?linkid=870924
Comment:
    Didn’t write this one - avg of other backgrounds- both sample and bypass</t>
      </text>
    </comment>
  </commentList>
</comments>
</file>

<file path=xl/sharedStrings.xml><?xml version="1.0" encoding="utf-8"?>
<sst xmlns="http://schemas.openxmlformats.org/spreadsheetml/2006/main" count="46" uniqueCount="25">
  <si>
    <t>Valve code</t>
  </si>
  <si>
    <t>Rot. Valve code</t>
  </si>
  <si>
    <t>Jar ID</t>
  </si>
  <si>
    <t>Treatment</t>
  </si>
  <si>
    <t>m sample[g]</t>
  </si>
  <si>
    <t>Starttime Picarro</t>
  </si>
  <si>
    <t>startdate</t>
  </si>
  <si>
    <t>Q sample start [L/min]</t>
  </si>
  <si>
    <t>Q Bypass start [L/min]</t>
  </si>
  <si>
    <t>Q sample end [mL/min]</t>
  </si>
  <si>
    <t>Q  Bypass end [L/min]</t>
  </si>
  <si>
    <t>endtime Piccarro</t>
  </si>
  <si>
    <t>enddate</t>
  </si>
  <si>
    <t>P Untr</t>
  </si>
  <si>
    <t>F H2SO4</t>
  </si>
  <si>
    <t>STD</t>
  </si>
  <si>
    <t>P H2SO4</t>
  </si>
  <si>
    <t>P AA</t>
  </si>
  <si>
    <t>Background</t>
  </si>
  <si>
    <t>F AA</t>
  </si>
  <si>
    <t>F Untr</t>
  </si>
  <si>
    <t>Chek</t>
  </si>
  <si>
    <t>-</t>
  </si>
  <si>
    <t>02/19-2026</t>
  </si>
  <si>
    <t>02/25-2026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</si>
</sst>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41FB0084-A38E-4055-BCE6-FE39473376DA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22T14:05:30.51" personId="{41FB0084-A38E-4055-BCE6-FE39473376DA}" id="{8DC1FA48-6C73-43B8-B575-39BC1BCA9B35}">
    <text>General observations:
- first cycle was changed from std - Jar 6 was put after 2 to test the picarro early (std most sure emission source). As this one provided a realistic meausrement it was propoed initial low concentrations of 1 and 2 stemmed from initial adsorption in the system
- slurry had visibly better penetration in the packed soil samples</text>
  </threadedComment>
  <threadedComment ref="O1" dT="2026-02-19T08:43:58.04" personId="{41FB0084-A38E-4055-BCE6-FE39473376DA}" id="{41F19D6E-E99D-4BC4-9CF8-03971525C4BB}">
    <text>Whether the notes on the samples were aligned with the sheet</text>
  </threadedComment>
  <threadedComment ref="G2" dT="2026-02-22T14:00:45.12" personId="{41FB0084-A38E-4055-BCE6-FE39473376DA}" id="{34F919C0-E213-42BB-B018-7CF158825172}">
    <text>Not exact time - need to go into file and find valve 1 for exact</text>
  </threadedComment>
  <threadedComment ref="M2" dT="2026-02-26T10:23:52.59" personId="{41FB0084-A38E-4055-BCE6-FE39473376DA}" id="{9EFC68A0-E0CF-42A9-8A43-AB7809A53DCD}">
    <text>Approx time when starting to measure the valves, not the end of the last cycle</text>
  </threadedComment>
  <threadedComment ref="F3" dT="2026-02-22T13:48:32.41" personId="{41FB0084-A38E-4055-BCE6-FE39473376DA}" id="{BD837BDB-798F-46E2-9B1E-095AD2C34354}">
    <text>The red plastic piece of this one was not replaced with glass</text>
  </threadedComment>
  <threadedComment ref="I14" dT="2026-02-22T13:53:01.18" personId="{41FB0084-A38E-4055-BCE6-FE39473376DA}" id="{74A47A3C-9B82-4D0E-8273-A61F47053664}">
    <text>Didn’t write this one - avg of other backgrounds- both sample and bypass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D1" workbookViewId="0">
      <selection activeCell="M7" sqref="M7"/>
    </sheetView>
  </sheetViews>
  <sheetFormatPr defaultRowHeight="14.4" x14ac:dyDescent="0.3"/>
  <cols>
    <col min="1" max="1" width="9.88671875" bestFit="1" customWidth="1"/>
    <col min="2" max="2" width="13.88671875" bestFit="1" customWidth="1"/>
    <col min="3" max="4" width="10.5546875" bestFit="1" customWidth="1"/>
    <col min="5" max="5" width="11" bestFit="1" customWidth="1"/>
    <col min="6" max="7" width="14.88671875" bestFit="1" customWidth="1"/>
    <col min="8" max="8" width="10.44140625" bestFit="1" customWidth="1"/>
    <col min="9" max="9" width="19.21875" bestFit="1" customWidth="1"/>
    <col min="10" max="10" width="20.21875" bestFit="1" customWidth="1"/>
    <col min="11" max="11" width="20.21875" style="3" bestFit="1" customWidth="1"/>
    <col min="12" max="12" width="18.88671875" style="3" bestFit="1" customWidth="1"/>
    <col min="13" max="13" width="14.88671875" bestFit="1" customWidth="1"/>
    <col min="14" max="14" width="10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3" t="s">
        <v>9</v>
      </c>
      <c r="L1" s="3" t="s">
        <v>10</v>
      </c>
      <c r="M1" t="s">
        <v>11</v>
      </c>
      <c r="N1" t="s">
        <v>12</v>
      </c>
      <c r="O1" t="s">
        <v>21</v>
      </c>
    </row>
    <row r="2" spans="1:15" x14ac:dyDescent="0.3">
      <c r="A2">
        <v>1</v>
      </c>
      <c r="B2">
        <v>1</v>
      </c>
      <c r="C2">
        <v>1</v>
      </c>
      <c r="D2" t="s">
        <v>16</v>
      </c>
      <c r="F2">
        <v>2.0609999999999999</v>
      </c>
      <c r="G2" s="1">
        <v>0.4375</v>
      </c>
      <c r="H2" s="2" t="s">
        <v>23</v>
      </c>
      <c r="I2">
        <v>0.22500000000000001</v>
      </c>
      <c r="J2">
        <v>0.94899999999999995</v>
      </c>
      <c r="K2" s="3">
        <v>0.20799999999999999</v>
      </c>
      <c r="L2" s="3">
        <v>0.97599999999999998</v>
      </c>
      <c r="M2" s="1">
        <v>0.11874999999999999</v>
      </c>
      <c r="N2" s="2" t="s">
        <v>24</v>
      </c>
      <c r="O2" s="6"/>
    </row>
    <row r="3" spans="1:15" x14ac:dyDescent="0.3">
      <c r="A3">
        <v>2</v>
      </c>
      <c r="B3">
        <v>2</v>
      </c>
      <c r="C3">
        <v>2</v>
      </c>
      <c r="D3" t="s">
        <v>14</v>
      </c>
      <c r="F3">
        <v>2.0310000000000001</v>
      </c>
      <c r="I3">
        <v>0.223</v>
      </c>
      <c r="J3" s="3">
        <v>0.95</v>
      </c>
      <c r="K3" s="3">
        <v>0.22</v>
      </c>
      <c r="L3" s="3">
        <v>0.96599999999999997</v>
      </c>
      <c r="O3" s="6"/>
    </row>
    <row r="4" spans="1:15" x14ac:dyDescent="0.3">
      <c r="A4">
        <v>3</v>
      </c>
      <c r="B4">
        <v>3</v>
      </c>
      <c r="C4">
        <v>3</v>
      </c>
      <c r="D4" t="s">
        <v>20</v>
      </c>
      <c r="F4">
        <v>2.0103</v>
      </c>
      <c r="I4">
        <v>0.22500000000000001</v>
      </c>
      <c r="J4" s="3">
        <v>0.94699999999999995</v>
      </c>
      <c r="K4" s="3">
        <v>0.21199999999999999</v>
      </c>
      <c r="L4" s="3">
        <v>0.97499999999999998</v>
      </c>
      <c r="O4" s="6"/>
    </row>
    <row r="5" spans="1:15" x14ac:dyDescent="0.3">
      <c r="A5">
        <v>4</v>
      </c>
      <c r="B5">
        <v>4</v>
      </c>
      <c r="C5">
        <v>4</v>
      </c>
      <c r="D5" t="s">
        <v>13</v>
      </c>
      <c r="F5">
        <v>2.0150000000000001</v>
      </c>
      <c r="I5">
        <v>0.22700000000000001</v>
      </c>
      <c r="J5">
        <v>0.94699999999999995</v>
      </c>
      <c r="K5" s="3">
        <v>0.21099999999999999</v>
      </c>
      <c r="L5" s="3">
        <v>0.97799999999999998</v>
      </c>
      <c r="O5" s="6"/>
    </row>
    <row r="6" spans="1:15" x14ac:dyDescent="0.3">
      <c r="A6">
        <v>5</v>
      </c>
      <c r="B6">
        <v>5</v>
      </c>
      <c r="C6">
        <v>5</v>
      </c>
      <c r="D6" t="s">
        <v>17</v>
      </c>
      <c r="F6">
        <v>2.1030000000000002</v>
      </c>
      <c r="I6">
        <v>0.22600000000000001</v>
      </c>
      <c r="J6">
        <v>0.94499999999999995</v>
      </c>
      <c r="K6" s="3">
        <v>0.23100000000000001</v>
      </c>
      <c r="L6" s="3">
        <v>0.97299999999999998</v>
      </c>
      <c r="O6" s="6"/>
    </row>
    <row r="7" spans="1:15" x14ac:dyDescent="0.3">
      <c r="A7">
        <v>11</v>
      </c>
      <c r="B7">
        <v>11</v>
      </c>
      <c r="C7" t="s">
        <v>18</v>
      </c>
      <c r="D7" s="4" t="s">
        <v>18</v>
      </c>
      <c r="F7" t="s">
        <v>22</v>
      </c>
      <c r="I7">
        <v>0.38700000000000001</v>
      </c>
      <c r="J7">
        <v>0.79400000000000004</v>
      </c>
      <c r="K7" s="3">
        <v>0.39600000000000002</v>
      </c>
      <c r="L7" s="3">
        <v>0.79500000000000004</v>
      </c>
    </row>
    <row r="8" spans="1:15" x14ac:dyDescent="0.3">
      <c r="A8">
        <v>6</v>
      </c>
      <c r="B8">
        <v>6</v>
      </c>
      <c r="C8">
        <v>6</v>
      </c>
      <c r="D8" t="s">
        <v>15</v>
      </c>
      <c r="F8">
        <v>2.1720000000000002</v>
      </c>
      <c r="I8">
        <v>0.22600000000000001</v>
      </c>
      <c r="J8" s="3">
        <v>0.94699999999999995</v>
      </c>
      <c r="K8" s="3">
        <v>0.216</v>
      </c>
      <c r="L8" s="3">
        <v>0.97</v>
      </c>
      <c r="O8" s="6"/>
    </row>
    <row r="9" spans="1:15" x14ac:dyDescent="0.3">
      <c r="A9">
        <v>7</v>
      </c>
      <c r="B9">
        <v>7</v>
      </c>
      <c r="C9">
        <v>7</v>
      </c>
      <c r="D9" s="5" t="s">
        <v>19</v>
      </c>
      <c r="F9">
        <v>2.0609999999999999</v>
      </c>
      <c r="I9">
        <v>0.22600000000000001</v>
      </c>
      <c r="J9" s="3">
        <v>0.95</v>
      </c>
      <c r="K9" s="3">
        <v>0.217</v>
      </c>
      <c r="L9" s="3">
        <v>0.97</v>
      </c>
      <c r="O9" s="6"/>
    </row>
    <row r="10" spans="1:15" x14ac:dyDescent="0.3">
      <c r="A10">
        <v>8</v>
      </c>
      <c r="B10">
        <v>8</v>
      </c>
      <c r="C10">
        <v>8</v>
      </c>
      <c r="D10" t="s">
        <v>14</v>
      </c>
      <c r="F10" s="3">
        <v>2.0259999999999998</v>
      </c>
      <c r="I10">
        <v>0.22600000000000001</v>
      </c>
      <c r="J10">
        <v>0.94699999999999995</v>
      </c>
      <c r="K10" s="3">
        <v>0.217</v>
      </c>
      <c r="L10" s="3">
        <v>0.97</v>
      </c>
      <c r="O10" s="6"/>
    </row>
    <row r="11" spans="1:15" x14ac:dyDescent="0.3">
      <c r="A11">
        <v>9</v>
      </c>
      <c r="B11">
        <v>9</v>
      </c>
      <c r="C11">
        <v>9</v>
      </c>
      <c r="D11" t="s">
        <v>19</v>
      </c>
      <c r="F11" s="3">
        <v>2.0259999999999998</v>
      </c>
      <c r="I11">
        <v>0.22600000000000001</v>
      </c>
      <c r="J11" s="3">
        <v>0.95</v>
      </c>
      <c r="K11" s="3">
        <v>0.218</v>
      </c>
      <c r="L11" s="3">
        <v>0.96799999999999997</v>
      </c>
      <c r="O11" s="6"/>
    </row>
    <row r="12" spans="1:15" x14ac:dyDescent="0.3">
      <c r="A12">
        <v>10</v>
      </c>
      <c r="B12">
        <v>10</v>
      </c>
      <c r="C12">
        <v>10</v>
      </c>
      <c r="D12" t="s">
        <v>13</v>
      </c>
      <c r="F12" s="3">
        <v>2.0499999999999998</v>
      </c>
      <c r="I12">
        <v>0.22600000000000001</v>
      </c>
      <c r="J12" s="3">
        <v>0.95099999999999996</v>
      </c>
      <c r="K12" s="3">
        <v>0.222</v>
      </c>
      <c r="L12" s="3">
        <v>0.96499999999999997</v>
      </c>
      <c r="O12" s="6"/>
    </row>
    <row r="13" spans="1:15" x14ac:dyDescent="0.3">
      <c r="A13">
        <v>12</v>
      </c>
      <c r="B13">
        <v>12</v>
      </c>
      <c r="C13" t="s">
        <v>18</v>
      </c>
      <c r="D13" s="4" t="s">
        <v>18</v>
      </c>
      <c r="I13">
        <v>0.22500000000000001</v>
      </c>
      <c r="J13" s="3">
        <v>0.95099999999999996</v>
      </c>
      <c r="K13" s="3">
        <v>0.39700000000000002</v>
      </c>
      <c r="L13" s="3">
        <v>0.79600000000000004</v>
      </c>
    </row>
    <row r="14" spans="1:15" x14ac:dyDescent="0.3">
      <c r="A14">
        <v>16</v>
      </c>
      <c r="B14">
        <v>17</v>
      </c>
      <c r="C14">
        <v>11</v>
      </c>
      <c r="D14" t="s">
        <v>20</v>
      </c>
      <c r="F14" s="3">
        <v>2.0499999999999998</v>
      </c>
      <c r="I14">
        <f>AVERAGE(I7,I25,I20)</f>
        <v>0.41299999999999998</v>
      </c>
      <c r="J14" s="3">
        <f>AVERAGE(J7,J20,J25)</f>
        <v>0.76833333333333342</v>
      </c>
      <c r="K14" s="3">
        <v>0.223</v>
      </c>
      <c r="L14" s="3">
        <v>0.95399999999999996</v>
      </c>
      <c r="O14" s="6"/>
    </row>
    <row r="15" spans="1:15" x14ac:dyDescent="0.3">
      <c r="A15">
        <v>16</v>
      </c>
      <c r="B15">
        <v>18</v>
      </c>
      <c r="C15">
        <v>12</v>
      </c>
      <c r="D15" t="s">
        <v>17</v>
      </c>
      <c r="F15" s="3">
        <v>2.052</v>
      </c>
      <c r="I15">
        <v>0.224</v>
      </c>
      <c r="J15" s="3">
        <v>0.95099999999999996</v>
      </c>
      <c r="K15" s="3">
        <v>0.20899999999999999</v>
      </c>
      <c r="L15" s="3">
        <v>0.97799999999999998</v>
      </c>
      <c r="O15" s="6"/>
    </row>
    <row r="16" spans="1:15" x14ac:dyDescent="0.3">
      <c r="A16">
        <v>16</v>
      </c>
      <c r="B16">
        <v>19</v>
      </c>
      <c r="C16">
        <v>13</v>
      </c>
      <c r="D16" t="s">
        <v>16</v>
      </c>
      <c r="F16" s="3">
        <v>2.12</v>
      </c>
      <c r="I16">
        <v>0.22600000000000001</v>
      </c>
      <c r="J16" s="3">
        <v>0.95099999999999996</v>
      </c>
      <c r="K16" s="3">
        <v>0.192</v>
      </c>
      <c r="L16" s="3">
        <v>0.99399999999999999</v>
      </c>
      <c r="O16" s="6"/>
    </row>
    <row r="17" spans="1:15" x14ac:dyDescent="0.3">
      <c r="A17">
        <v>16</v>
      </c>
      <c r="B17">
        <v>20</v>
      </c>
      <c r="C17">
        <v>14</v>
      </c>
      <c r="D17" s="5" t="s">
        <v>15</v>
      </c>
      <c r="F17" s="3">
        <v>2.0459999999999998</v>
      </c>
      <c r="I17">
        <v>0.22600000000000001</v>
      </c>
      <c r="J17" s="3">
        <v>0.94899999999999995</v>
      </c>
      <c r="K17" s="3">
        <v>0.215</v>
      </c>
      <c r="L17" s="3">
        <v>0.97199999999999998</v>
      </c>
      <c r="O17" s="6"/>
    </row>
    <row r="18" spans="1:15" x14ac:dyDescent="0.3">
      <c r="A18">
        <v>16</v>
      </c>
      <c r="B18">
        <v>21</v>
      </c>
      <c r="C18">
        <v>15</v>
      </c>
      <c r="D18" t="s">
        <v>19</v>
      </c>
      <c r="F18" s="3">
        <v>2.0449999999999999</v>
      </c>
      <c r="I18">
        <v>0.22500000000000001</v>
      </c>
      <c r="J18" s="3">
        <v>0.94599999999999995</v>
      </c>
      <c r="K18" s="3">
        <v>0.22</v>
      </c>
      <c r="L18" s="3">
        <v>0.96699999999999997</v>
      </c>
      <c r="O18" s="6"/>
    </row>
    <row r="19" spans="1:15" x14ac:dyDescent="0.3">
      <c r="A19">
        <v>16</v>
      </c>
      <c r="B19">
        <v>27</v>
      </c>
      <c r="C19" t="s">
        <v>18</v>
      </c>
      <c r="D19" s="4" t="s">
        <v>18</v>
      </c>
      <c r="F19" t="s">
        <v>22</v>
      </c>
      <c r="I19">
        <v>0.22600000000000001</v>
      </c>
      <c r="J19" s="3">
        <v>0.95</v>
      </c>
      <c r="K19" s="3">
        <v>0.752</v>
      </c>
      <c r="L19" s="3">
        <v>0.439</v>
      </c>
    </row>
    <row r="20" spans="1:15" x14ac:dyDescent="0.3">
      <c r="A20">
        <v>16</v>
      </c>
      <c r="B20">
        <v>22</v>
      </c>
      <c r="C20">
        <v>16</v>
      </c>
      <c r="D20" t="s">
        <v>16</v>
      </c>
      <c r="F20" s="3">
        <v>2.0339999999999998</v>
      </c>
      <c r="I20">
        <v>0.42599999999999999</v>
      </c>
      <c r="J20" s="3">
        <v>0.75600000000000001</v>
      </c>
      <c r="K20" s="3">
        <v>0.21199999999999999</v>
      </c>
      <c r="L20" s="3">
        <v>0.97399999999999998</v>
      </c>
      <c r="O20" s="6"/>
    </row>
    <row r="21" spans="1:15" x14ac:dyDescent="0.3">
      <c r="A21">
        <v>16</v>
      </c>
      <c r="B21">
        <v>23</v>
      </c>
      <c r="C21">
        <v>17</v>
      </c>
      <c r="D21" t="s">
        <v>13</v>
      </c>
      <c r="F21" s="3">
        <v>2.044</v>
      </c>
      <c r="I21">
        <v>0.22500000000000001</v>
      </c>
      <c r="J21" s="3">
        <v>0.95</v>
      </c>
      <c r="K21" s="3">
        <v>0.224</v>
      </c>
      <c r="L21" s="3">
        <v>0.96499999999999997</v>
      </c>
      <c r="O21" s="6"/>
    </row>
    <row r="22" spans="1:15" x14ac:dyDescent="0.3">
      <c r="A22">
        <v>16</v>
      </c>
      <c r="B22">
        <v>25</v>
      </c>
      <c r="C22">
        <v>18</v>
      </c>
      <c r="D22" t="s">
        <v>14</v>
      </c>
      <c r="F22" s="3">
        <v>2.0139999999999998</v>
      </c>
      <c r="I22">
        <v>0.22600000000000001</v>
      </c>
      <c r="J22" s="3">
        <v>0.94899999999999995</v>
      </c>
      <c r="K22" s="3">
        <v>0.20899999999999999</v>
      </c>
      <c r="L22" s="3">
        <v>0.97899999999999998</v>
      </c>
      <c r="O22" s="6"/>
    </row>
    <row r="23" spans="1:15" x14ac:dyDescent="0.3">
      <c r="A23">
        <v>16</v>
      </c>
      <c r="B23">
        <v>25</v>
      </c>
      <c r="C23">
        <v>19</v>
      </c>
      <c r="D23" t="s">
        <v>20</v>
      </c>
      <c r="F23" s="3">
        <v>2.0550000000000002</v>
      </c>
      <c r="I23">
        <v>0.22500000000000001</v>
      </c>
      <c r="J23" s="3">
        <v>0.95</v>
      </c>
      <c r="K23" s="3">
        <v>0.22700000000000001</v>
      </c>
      <c r="L23" s="3">
        <v>0.96099999999999997</v>
      </c>
      <c r="O23" s="6"/>
    </row>
    <row r="24" spans="1:15" x14ac:dyDescent="0.3">
      <c r="A24">
        <v>16</v>
      </c>
      <c r="B24">
        <v>26</v>
      </c>
      <c r="C24">
        <v>20</v>
      </c>
      <c r="D24" t="s">
        <v>17</v>
      </c>
      <c r="F24" s="3">
        <v>2.024</v>
      </c>
      <c r="I24">
        <v>0.22700000000000001</v>
      </c>
      <c r="J24" s="3">
        <v>0.94799999999999995</v>
      </c>
      <c r="K24" s="3">
        <v>0.21099999999999999</v>
      </c>
      <c r="L24" s="3">
        <v>0.97599999999999998</v>
      </c>
      <c r="O24" s="6"/>
    </row>
    <row r="25" spans="1:15" x14ac:dyDescent="0.3">
      <c r="A25">
        <v>16</v>
      </c>
      <c r="B25">
        <v>28</v>
      </c>
      <c r="C25" t="s">
        <v>18</v>
      </c>
      <c r="D25" s="4" t="s">
        <v>18</v>
      </c>
      <c r="I25">
        <v>0.42599999999999999</v>
      </c>
      <c r="J25" s="3">
        <v>0.755</v>
      </c>
      <c r="K25" s="3">
        <v>0.441</v>
      </c>
      <c r="L25" s="3">
        <v>0.753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2026-02-26T10:25:23Z</dcterms:modified>
</cp:coreProperties>
</file>