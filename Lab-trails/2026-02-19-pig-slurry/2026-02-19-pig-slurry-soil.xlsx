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2-19-pig-slurry\"/>
    </mc:Choice>
  </mc:AlternateContent>
  <xr:revisionPtr revIDLastSave="0" documentId="13_ncr:1_{62EF0376-2D14-4FEF-9C6D-17F707E96C9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Water content" sheetId="1" r:id="rId1"/>
    <sheet name="Packed soils" sheetId="2" r:id="rId2"/>
    <sheet name="soil pH" sheetId="3" r:id="rId3"/>
    <sheet name="Soil T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M5" i="2" l="1"/>
  <c r="L5" i="2"/>
  <c r="K5" i="2"/>
  <c r="H11" i="1"/>
  <c r="H12" i="1"/>
  <c r="H13" i="1"/>
  <c r="H10" i="1"/>
  <c r="G11" i="1"/>
  <c r="G12" i="1"/>
  <c r="G13" i="1"/>
  <c r="G10" i="1"/>
  <c r="E11" i="1"/>
  <c r="E12" i="1"/>
  <c r="E13" i="1"/>
  <c r="E10" i="1"/>
  <c r="H2" i="2"/>
  <c r="L2" i="2"/>
  <c r="K2" i="2"/>
  <c r="D3" i="2"/>
  <c r="D4" i="2"/>
  <c r="D2" i="2"/>
  <c r="C3" i="2"/>
  <c r="C4" i="2"/>
  <c r="C2" i="2"/>
  <c r="A11" i="2"/>
  <c r="H5" i="1"/>
  <c r="H2" i="1" l="1"/>
  <c r="G2" i="2"/>
  <c r="D6" i="2"/>
  <c r="D5" i="2"/>
  <c r="I2" i="2"/>
  <c r="A12" i="2"/>
  <c r="H6" i="1"/>
  <c r="H7" i="1"/>
  <c r="H3" i="1"/>
  <c r="H4" i="1"/>
  <c r="M2" i="2" l="1"/>
  <c r="N2" i="2" s="1"/>
  <c r="G3" i="1"/>
  <c r="G4" i="1"/>
  <c r="G5" i="1"/>
  <c r="G6" i="1"/>
  <c r="G7" i="1"/>
  <c r="G2" i="1"/>
  <c r="E3" i="1"/>
  <c r="E4" i="1"/>
  <c r="E5" i="1"/>
  <c r="E6" i="1"/>
  <c r="E7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tc={68744498-A3E4-4849-AD8F-D1D12D4D4AA8}</author>
    <author>tc={FB3EE11E-7731-45EA-A503-DEF4066EBAF2}</author>
  </authors>
  <commentList>
    <comment ref="H2" authorId="0" shapeId="0" xr:uid="{68744498-A3E4-4849-AD8F-D1D12D4D4AA8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soil taken from the same field-sample - might have been a mistake as the true field-deviation is therefore not captured</t>
      </text>
    </comment>
    <comment ref="B10" authorId="1" shapeId="0" xr:uid="{FB3EE11E-7731-45EA-A503-DEF4066EBAF2}">
      <text>
        <t>[Threaded comment]
Your version of Excel allows you to read this threaded comment; however, any edits to it will get removed if the file is opened in a newer version of Excel. Learn more: https://go.microsoft.com/fwlink/?linkid=870924
Comment:
    2 different field samples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tc={4489860D-E65F-4BF4-81F3-9B446ED57287}</author>
    <author>tc={6EDE54FE-20B4-472F-8C86-E93C5809D78C}</author>
    <author>tc={309308C6-4760-42FD-BADC-66D819ED43DB}</author>
  </authors>
  <commentList>
    <comment ref="L1" authorId="0" shapeId="0" xr:uid="{4489860D-E65F-4BF4-81F3-9B446ED5728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reach water concentration of 19 %</t>
      </text>
    </comment>
    <comment ref="N2" authorId="1" shapeId="0" xr:uid="{6EDE54FE-20B4-472F-8C86-E93C5809D78C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to 2.8 mL</t>
      </text>
    </comment>
    <comment ref="M5" authorId="2" shapeId="0" xr:uid="{309308C6-4760-42FD-BADC-66D819ED43DB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Within dubplicate range from the day before the experiment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tc={FBFC66BA-3C01-40C6-B4A3-AC3B16600579}</author>
    <author>tc={3E7317BE-A033-4FDC-A34F-45A5610D16BB}</author>
  </authors>
  <commentList>
    <comment ref="C3" authorId="0" shapeId="0" xr:uid="{FBFC66BA-3C01-40C6-B4A3-AC3B166005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Avg during cattle field applikation was 5.80 - weird one field sample had such a drastic increase while the other didn’t? </t>
      </text>
    </comment>
    <comment ref="A4" authorId="1" shapeId="0" xr:uid="{3E7317BE-A033-4FDC-A34F-45A5610D16B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by Marzieh - not on the same day!</t>
      </text>
    </comment>
  </commentList>
</comments>
</file>

<file path=xl/sharedStrings.xml><?xml version="1.0" encoding="utf-8"?>
<sst xmlns="http://schemas.openxmlformats.org/spreadsheetml/2006/main" count="48" uniqueCount="34">
  <si>
    <t>ID</t>
  </si>
  <si>
    <t>F1</t>
  </si>
  <si>
    <t>F2</t>
  </si>
  <si>
    <t>F3</t>
  </si>
  <si>
    <t>MZ1</t>
  </si>
  <si>
    <t>MZ2</t>
  </si>
  <si>
    <t>MZ3</t>
  </si>
  <si>
    <t>m(alue + wet) [g]</t>
  </si>
  <si>
    <t>m(alue) [g]</t>
  </si>
  <si>
    <t>m(wet) [g]</t>
  </si>
  <si>
    <t>m(dry) [g]</t>
  </si>
  <si>
    <t>m(water) [g]</t>
  </si>
  <si>
    <t>water content [g/g]</t>
  </si>
  <si>
    <t>avg</t>
  </si>
  <si>
    <t>Sample volume [cm3]</t>
  </si>
  <si>
    <t xml:space="preserve"> soil to add [g]</t>
  </si>
  <si>
    <t>Per stamp [g]</t>
  </si>
  <si>
    <t>Field soil dry bulk density [g/cm3]</t>
  </si>
  <si>
    <t>stdev</t>
  </si>
  <si>
    <t>Wanted amount [g]</t>
  </si>
  <si>
    <t>Water to add -total [g]</t>
  </si>
  <si>
    <t>m(soil) [g]</t>
  </si>
  <si>
    <t>-</t>
  </si>
  <si>
    <t>pH</t>
  </si>
  <si>
    <t>stdev [g]</t>
  </si>
  <si>
    <t>Field water content (02-02-2026) [g(water) / g(soil)]</t>
  </si>
  <si>
    <t>2 field samples used as dublicates</t>
  </si>
  <si>
    <t>TAN-concentration bellow meassurable range</t>
  </si>
  <si>
    <t>Packed water content (18-02-2026) [g(water) / g(dry))</t>
  </si>
  <si>
    <t>Packed water conent (02-02-2026) [g(water/g(dry)</t>
  </si>
  <si>
    <t>water in packed soil [g] (02-02)</t>
  </si>
  <si>
    <t>Water in packed soil  (18-02)</t>
  </si>
  <si>
    <t>Added water  [g]</t>
  </si>
  <si>
    <t>water content [g(water) / g soil]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</si>
</sst>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FA62AA0-6EA6-4B43-9405-0CBD5D0BA949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2-18T14:40:53.06" personId="{2FA62AA0-6EA6-4B43-9405-0CBD5D0BA949}" id="{68744498-A3E4-4849-AD8F-D1D12D4D4AA8}">
    <text>All soil taken from the same field-sample - might have been a mistake as the true field-deviation is therefore not captured</text>
  </threadedComment>
  <threadedComment ref="B10" dT="2026-02-18T14:41:12.65" personId="{2FA62AA0-6EA6-4B43-9405-0CBD5D0BA949}" id="{FB3EE11E-7731-45EA-A503-DEF4066EBAF2}">
    <text>2 different field samples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6-02-19T07:52:01.64" personId="{2FA62AA0-6EA6-4B43-9405-0CBD5D0BA949}" id="{4489860D-E65F-4BF4-81F3-9B446ED57287}">
    <text>To reach water concentration of 19 %</text>
  </threadedComment>
  <threadedComment ref="N2" dT="2026-02-18T14:22:06.86" personId="{2FA62AA0-6EA6-4B43-9405-0CBD5D0BA949}" id="{6EDE54FE-20B4-472F-8C86-E93C5809D78C}">
    <text>Rounded to 2.8 mL</text>
  </threadedComment>
  <threadedComment ref="M5" dT="2026-02-19T07:51:18.08" personId="{2FA62AA0-6EA6-4B43-9405-0CBD5D0BA949}" id="{309308C6-4760-42FD-BADC-66D819ED43DB}">
    <text>Within dubplicate range from the day before the experiment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6-02-22T14:13:04.49" personId="{2FA62AA0-6EA6-4B43-9405-0CBD5D0BA949}" id="{FBFC66BA-3C01-40C6-B4A3-AC3B16600579}">
    <text xml:space="preserve">Avg during cattle field applikation was 5.80 - weird one field sample had such a drastic increase while the other didn’t? </text>
  </threadedComment>
  <threadedComment ref="A4" dT="2026-02-18T14:17:02.32" personId="{2FA62AA0-6EA6-4B43-9405-0CBD5D0BA949}" id="{3E7317BE-A033-4FDC-A34F-45A5610D16BB}">
    <text>Done by Marzieh - not on the same day!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J14" sqref="J14"/>
    </sheetView>
  </sheetViews>
  <sheetFormatPr defaultRowHeight="14.4" x14ac:dyDescent="0.3"/>
  <cols>
    <col min="1" max="1" width="10.33203125" bestFit="1" customWidth="1"/>
    <col min="3" max="3" width="9.77734375" bestFit="1" customWidth="1"/>
    <col min="4" max="4" width="14.88671875" bestFit="1" customWidth="1"/>
    <col min="5" max="5" width="9.44140625" bestFit="1" customWidth="1"/>
    <col min="7" max="7" width="11.109375" bestFit="1" customWidth="1"/>
    <col min="8" max="8" width="17" bestFit="1" customWidth="1"/>
  </cols>
  <sheetData>
    <row r="1" spans="1:8" x14ac:dyDescent="0.3">
      <c r="A1" s="1">
        <v>46055</v>
      </c>
      <c r="B1" t="s">
        <v>0</v>
      </c>
      <c r="C1" t="s">
        <v>8</v>
      </c>
      <c r="D1" t="s">
        <v>7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B2" t="s">
        <v>1</v>
      </c>
      <c r="C2">
        <v>4.3019999999999996</v>
      </c>
      <c r="D2">
        <v>158.69800000000001</v>
      </c>
      <c r="E2">
        <f>D2-C2</f>
        <v>154.39600000000002</v>
      </c>
      <c r="F2" s="3">
        <v>129.72</v>
      </c>
      <c r="G2" s="3">
        <f>E2-F2</f>
        <v>24.676000000000016</v>
      </c>
      <c r="H2" s="2">
        <f>G2/F2</f>
        <v>0.19022510021584965</v>
      </c>
    </row>
    <row r="3" spans="1:8" x14ac:dyDescent="0.3">
      <c r="B3" t="s">
        <v>2</v>
      </c>
      <c r="C3">
        <v>4.306</v>
      </c>
      <c r="D3">
        <v>119.036</v>
      </c>
      <c r="E3">
        <f t="shared" ref="E3:E7" si="0">D3-C3</f>
        <v>114.73</v>
      </c>
      <c r="F3">
        <v>96.484999999999999</v>
      </c>
      <c r="G3" s="3">
        <f t="shared" ref="G3:G7" si="1">E3-F3</f>
        <v>18.245000000000005</v>
      </c>
      <c r="H3" s="2">
        <f t="shared" ref="H3:H7" si="2">G3/F3</f>
        <v>0.18909675079027832</v>
      </c>
    </row>
    <row r="4" spans="1:8" x14ac:dyDescent="0.3">
      <c r="B4" t="s">
        <v>3</v>
      </c>
      <c r="C4">
        <v>4.2939999999999996</v>
      </c>
      <c r="D4">
        <v>160.36600000000001</v>
      </c>
      <c r="E4">
        <f t="shared" si="0"/>
        <v>156.072</v>
      </c>
      <c r="F4">
        <v>130.989</v>
      </c>
      <c r="G4" s="3">
        <f t="shared" si="1"/>
        <v>25.082999999999998</v>
      </c>
      <c r="H4" s="2">
        <f t="shared" si="2"/>
        <v>0.19148936170212763</v>
      </c>
    </row>
    <row r="5" spans="1:8" x14ac:dyDescent="0.3">
      <c r="B5" t="s">
        <v>4</v>
      </c>
      <c r="C5">
        <v>4.2859999999999996</v>
      </c>
      <c r="D5">
        <v>91.911000000000001</v>
      </c>
      <c r="E5">
        <f t="shared" si="0"/>
        <v>87.625</v>
      </c>
      <c r="F5">
        <v>78.049000000000007</v>
      </c>
      <c r="G5" s="3">
        <f t="shared" si="1"/>
        <v>9.5759999999999934</v>
      </c>
      <c r="H5" s="2">
        <f>G5/F5</f>
        <v>0.12269215492831417</v>
      </c>
    </row>
    <row r="6" spans="1:8" x14ac:dyDescent="0.3">
      <c r="B6" t="s">
        <v>5</v>
      </c>
      <c r="C6">
        <v>4.2880000000000003</v>
      </c>
      <c r="D6">
        <v>79.843999999999994</v>
      </c>
      <c r="E6">
        <f t="shared" si="0"/>
        <v>75.555999999999997</v>
      </c>
      <c r="F6" s="3">
        <v>67.78</v>
      </c>
      <c r="G6" s="3">
        <f t="shared" si="1"/>
        <v>7.7759999999999962</v>
      </c>
      <c r="H6" s="2">
        <f t="shared" si="2"/>
        <v>0.11472410740631449</v>
      </c>
    </row>
    <row r="7" spans="1:8" x14ac:dyDescent="0.3">
      <c r="B7" t="s">
        <v>6</v>
      </c>
      <c r="C7" s="3">
        <v>4.3</v>
      </c>
      <c r="D7" s="3">
        <v>77.099999999999994</v>
      </c>
      <c r="E7">
        <f t="shared" si="0"/>
        <v>72.8</v>
      </c>
      <c r="F7">
        <v>65.539000000000001</v>
      </c>
      <c r="G7" s="3">
        <f t="shared" si="1"/>
        <v>7.2609999999999957</v>
      </c>
      <c r="H7" s="2">
        <f t="shared" si="2"/>
        <v>0.11078899586505737</v>
      </c>
    </row>
    <row r="9" spans="1:8" x14ac:dyDescent="0.3">
      <c r="A9" s="1">
        <v>46071</v>
      </c>
    </row>
    <row r="10" spans="1:8" x14ac:dyDescent="0.3">
      <c r="B10" t="s">
        <v>1</v>
      </c>
      <c r="C10">
        <v>4.2889999999999997</v>
      </c>
      <c r="D10">
        <v>112.913</v>
      </c>
      <c r="E10">
        <f>D10-C10</f>
        <v>108.624</v>
      </c>
      <c r="F10">
        <v>92.739000000000004</v>
      </c>
      <c r="G10">
        <f>E10-F10</f>
        <v>15.884999999999991</v>
      </c>
      <c r="H10" s="2">
        <f>G10/F10</f>
        <v>0.17128716074143555</v>
      </c>
    </row>
    <row r="11" spans="1:8" x14ac:dyDescent="0.3">
      <c r="B11" t="s">
        <v>2</v>
      </c>
      <c r="C11">
        <v>4.2750000000000004</v>
      </c>
      <c r="D11">
        <v>74.376999999999995</v>
      </c>
      <c r="E11">
        <f t="shared" ref="E11:E13" si="3">D11-C11</f>
        <v>70.10199999999999</v>
      </c>
      <c r="F11">
        <v>62.08</v>
      </c>
      <c r="G11">
        <f t="shared" ref="G11:G13" si="4">E11-F11</f>
        <v>8.0219999999999914</v>
      </c>
      <c r="H11" s="2">
        <f t="shared" ref="H11:H13" si="5">G11/F11</f>
        <v>0.12922036082474214</v>
      </c>
    </row>
    <row r="12" spans="1:8" x14ac:dyDescent="0.3">
      <c r="B12" t="s">
        <v>4</v>
      </c>
      <c r="C12">
        <v>4.2729999999999997</v>
      </c>
      <c r="D12">
        <v>54.822000000000003</v>
      </c>
      <c r="E12">
        <f t="shared" si="3"/>
        <v>50.549000000000007</v>
      </c>
      <c r="F12">
        <v>47.103999999999999</v>
      </c>
      <c r="G12">
        <f t="shared" si="4"/>
        <v>3.4450000000000074</v>
      </c>
      <c r="H12" s="2">
        <f t="shared" si="5"/>
        <v>7.3136039402174072E-2</v>
      </c>
    </row>
    <row r="13" spans="1:8" x14ac:dyDescent="0.3">
      <c r="B13" t="s">
        <v>5</v>
      </c>
      <c r="C13">
        <v>4.2869999999999999</v>
      </c>
      <c r="D13">
        <v>54.572000000000003</v>
      </c>
      <c r="E13">
        <f t="shared" si="3"/>
        <v>50.285000000000004</v>
      </c>
      <c r="F13">
        <v>46.856999999999999</v>
      </c>
      <c r="G13">
        <f t="shared" si="4"/>
        <v>3.4280000000000044</v>
      </c>
      <c r="H13" s="2">
        <f t="shared" si="5"/>
        <v>7.315875963036482E-2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C2BC-C758-4D2D-A4D6-AC3B43D64F90}">
  <dimension ref="A1:N12"/>
  <sheetViews>
    <sheetView tabSelected="1" workbookViewId="0">
      <selection activeCell="F3" sqref="F3"/>
    </sheetView>
  </sheetViews>
  <sheetFormatPr defaultRowHeight="14.4" x14ac:dyDescent="0.3"/>
  <cols>
    <col min="1" max="1" width="28.33203125" bestFit="1" customWidth="1"/>
    <col min="2" max="2" width="18.77734375" bestFit="1" customWidth="1"/>
    <col min="3" max="3" width="43.5546875" bestFit="1" customWidth="1"/>
    <col min="4" max="4" width="45.21875" bestFit="1" customWidth="1"/>
    <col min="5" max="5" width="14.21875" bestFit="1" customWidth="1"/>
    <col min="6" max="6" width="12.5546875" bestFit="1" customWidth="1"/>
    <col min="7" max="8" width="11.77734375" bestFit="1" customWidth="1"/>
    <col min="9" max="9" width="12" bestFit="1" customWidth="1"/>
    <col min="10" max="10" width="14.21875" bestFit="1" customWidth="1"/>
    <col min="11" max="11" width="26.44140625" bestFit="1" customWidth="1"/>
    <col min="12" max="12" width="17" bestFit="1" customWidth="1"/>
    <col min="13" max="13" width="27.33203125" bestFit="1" customWidth="1"/>
    <col min="14" max="14" width="11.77734375" bestFit="1" customWidth="1"/>
  </cols>
  <sheetData>
    <row r="1" spans="1:14" x14ac:dyDescent="0.3">
      <c r="A1" t="s">
        <v>17</v>
      </c>
      <c r="B1" t="s">
        <v>14</v>
      </c>
      <c r="C1" t="s">
        <v>25</v>
      </c>
      <c r="D1" t="s">
        <v>29</v>
      </c>
      <c r="F1" t="s">
        <v>15</v>
      </c>
      <c r="G1" t="s">
        <v>24</v>
      </c>
      <c r="H1" s="6" t="s">
        <v>16</v>
      </c>
      <c r="I1" t="s">
        <v>24</v>
      </c>
      <c r="K1" t="s">
        <v>30</v>
      </c>
      <c r="L1" t="s">
        <v>19</v>
      </c>
      <c r="M1" t="s">
        <v>20</v>
      </c>
      <c r="N1" s="6" t="s">
        <v>16</v>
      </c>
    </row>
    <row r="2" spans="1:14" x14ac:dyDescent="0.3">
      <c r="A2" s="4">
        <v>1.56</v>
      </c>
      <c r="B2">
        <v>100</v>
      </c>
      <c r="C2" s="2">
        <f>'Water content'!H2</f>
        <v>0.19022510021584965</v>
      </c>
      <c r="D2" s="2">
        <f>'Water content'!H5</f>
        <v>0.12269215492831417</v>
      </c>
      <c r="F2" s="2">
        <f>A11*B2</f>
        <v>146</v>
      </c>
      <c r="G2" s="5">
        <f>A12*B2</f>
        <v>8.0553639823963845</v>
      </c>
      <c r="H2" s="7">
        <f>F2/4</f>
        <v>36.5</v>
      </c>
      <c r="I2" s="3">
        <f>G2/4</f>
        <v>2.0138409955990961</v>
      </c>
      <c r="K2" s="3">
        <f>D5*F2</f>
        <v>16.945989232384719</v>
      </c>
      <c r="L2">
        <f>F2*C4</f>
        <v>27.957446808510635</v>
      </c>
      <c r="M2" s="3">
        <f>L2-K2</f>
        <v>11.011457576125917</v>
      </c>
      <c r="N2" s="7">
        <f>M2/4</f>
        <v>2.7528643940314792</v>
      </c>
    </row>
    <row r="3" spans="1:14" x14ac:dyDescent="0.3">
      <c r="A3" s="4">
        <v>1.45</v>
      </c>
      <c r="C3" s="2">
        <f>'Water content'!H3</f>
        <v>0.18909675079027832</v>
      </c>
      <c r="D3" s="2">
        <f>'Water content'!H6</f>
        <v>0.11472410740631449</v>
      </c>
      <c r="K3" s="2"/>
    </row>
    <row r="4" spans="1:14" x14ac:dyDescent="0.3">
      <c r="A4" s="4">
        <v>1.44</v>
      </c>
      <c r="C4" s="2">
        <f>'Water content'!H4</f>
        <v>0.19148936170212763</v>
      </c>
      <c r="D4" s="2">
        <f>'Water content'!H7</f>
        <v>0.11078899586505737</v>
      </c>
      <c r="K4" t="s">
        <v>31</v>
      </c>
      <c r="L4" t="s">
        <v>32</v>
      </c>
      <c r="M4" t="s">
        <v>33</v>
      </c>
    </row>
    <row r="5" spans="1:14" x14ac:dyDescent="0.3">
      <c r="A5" s="4">
        <v>1.47</v>
      </c>
      <c r="D5" s="2">
        <f>AVERAGE(D2:D4)</f>
        <v>0.11606841939989533</v>
      </c>
      <c r="E5" t="s">
        <v>13</v>
      </c>
      <c r="K5">
        <f>F2*D9</f>
        <v>10.220000000000001</v>
      </c>
      <c r="L5" s="3">
        <f>M2</f>
        <v>11.011457576125917</v>
      </c>
      <c r="M5" s="3">
        <f>(K5+L5)/(F2-K5)</f>
        <v>0.15636660462605625</v>
      </c>
    </row>
    <row r="6" spans="1:14" x14ac:dyDescent="0.3">
      <c r="A6" s="4">
        <v>1.31</v>
      </c>
      <c r="D6" s="3">
        <f>_xlfn.STDEV.P(D2:D4)</f>
        <v>4.9515438651907429E-3</v>
      </c>
      <c r="E6" t="s">
        <v>18</v>
      </c>
    </row>
    <row r="7" spans="1:14" x14ac:dyDescent="0.3">
      <c r="A7" s="4">
        <v>1.39</v>
      </c>
    </row>
    <row r="8" spans="1:14" x14ac:dyDescent="0.3">
      <c r="A8" s="4">
        <v>1.44</v>
      </c>
      <c r="D8" t="s">
        <v>28</v>
      </c>
    </row>
    <row r="9" spans="1:14" x14ac:dyDescent="0.3">
      <c r="A9" s="4">
        <v>1.6</v>
      </c>
      <c r="D9">
        <v>7.0000000000000007E-2</v>
      </c>
    </row>
    <row r="10" spans="1:14" x14ac:dyDescent="0.3">
      <c r="A10" s="4">
        <v>1.48</v>
      </c>
    </row>
    <row r="11" spans="1:14" x14ac:dyDescent="0.3">
      <c r="A11" s="2">
        <f>AVERAGE(A2:A10)</f>
        <v>1.46</v>
      </c>
      <c r="B11" t="s">
        <v>13</v>
      </c>
    </row>
    <row r="12" spans="1:14" x14ac:dyDescent="0.3">
      <c r="A12" s="2">
        <f>_xlfn.STDEV.P(A2:A10)</f>
        <v>8.0553639823963838E-2</v>
      </c>
      <c r="B12" t="s">
        <v>18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19BD-E2BE-4964-9D4B-4A779D6ACAB3}">
  <dimension ref="A1:C5"/>
  <sheetViews>
    <sheetView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21</v>
      </c>
      <c r="C1" t="s">
        <v>23</v>
      </c>
    </row>
    <row r="2" spans="1:3" x14ac:dyDescent="0.3">
      <c r="A2">
        <v>1</v>
      </c>
      <c r="B2">
        <v>20.061</v>
      </c>
      <c r="C2">
        <v>5.85</v>
      </c>
    </row>
    <row r="3" spans="1:3" x14ac:dyDescent="0.3">
      <c r="A3">
        <v>2</v>
      </c>
      <c r="B3">
        <v>20.004000000000001</v>
      </c>
      <c r="C3">
        <v>6.15</v>
      </c>
    </row>
    <row r="4" spans="1:3" x14ac:dyDescent="0.3">
      <c r="A4" t="s">
        <v>4</v>
      </c>
      <c r="B4" t="s">
        <v>22</v>
      </c>
      <c r="C4">
        <v>5.34</v>
      </c>
    </row>
    <row r="5" spans="1:3" x14ac:dyDescent="0.3">
      <c r="A5" t="s">
        <v>5</v>
      </c>
      <c r="B5" t="s">
        <v>22</v>
      </c>
      <c r="C5">
        <v>5.31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D794-955B-45EB-993C-44A4506448A7}">
  <dimension ref="A1:G5"/>
  <sheetViews>
    <sheetView workbookViewId="0">
      <selection activeCell="G6" sqref="G6"/>
    </sheetView>
  </sheetViews>
  <sheetFormatPr defaultRowHeight="14.4" x14ac:dyDescent="0.3"/>
  <sheetData>
    <row r="1" spans="1:7" x14ac:dyDescent="0.3">
      <c r="A1" t="s">
        <v>26</v>
      </c>
      <c r="F1" t="s">
        <v>0</v>
      </c>
      <c r="G1" t="s">
        <v>21</v>
      </c>
    </row>
    <row r="2" spans="1:7" x14ac:dyDescent="0.3">
      <c r="A2" t="s">
        <v>27</v>
      </c>
      <c r="F2">
        <v>1.1000000000000001</v>
      </c>
      <c r="G2">
        <v>0.996</v>
      </c>
    </row>
    <row r="3" spans="1:7" x14ac:dyDescent="0.3">
      <c r="F3">
        <v>1.2</v>
      </c>
      <c r="G3">
        <v>0.995</v>
      </c>
    </row>
    <row r="4" spans="1:7" x14ac:dyDescent="0.3">
      <c r="F4">
        <v>2.1</v>
      </c>
      <c r="G4">
        <v>1.0109999999999999</v>
      </c>
    </row>
    <row r="5" spans="1:7" x14ac:dyDescent="0.3">
      <c r="F5">
        <v>2.2000000000000002</v>
      </c>
      <c r="G5">
        <v>0.97699999999999998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 content</vt:lpstr>
      <vt:lpstr>Packed soils</vt:lpstr>
      <vt:lpstr>soil pH</vt:lpstr>
      <vt:lpstr>Soil 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2026-02-22T14:43:47Z</dcterms:modified>
</cp:coreProperties>
</file>