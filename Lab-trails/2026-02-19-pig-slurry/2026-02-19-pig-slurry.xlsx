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2026-02-19-pig-slurry\"/>
    </mc:Choice>
  </mc:AlternateContent>
  <xr:revisionPtr revIDLastSave="0" documentId="13_ncr:1_{8E7F56BA-B150-4A85-9E6C-7A20ECF032C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cidification" sheetId="1" r:id="rId1"/>
    <sheet name="TAN" sheetId="2" r:id="rId2"/>
    <sheet name="D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H10" i="2"/>
  <c r="G10" i="2"/>
  <c r="H7" i="2"/>
  <c r="G7" i="2"/>
  <c r="H4" i="2"/>
  <c r="F12" i="2"/>
  <c r="G4" i="2"/>
  <c r="F11" i="2"/>
  <c r="I10" i="3"/>
  <c r="I7" i="3"/>
  <c r="I4" i="3"/>
  <c r="H10" i="3"/>
  <c r="H7" i="3"/>
  <c r="H4" i="3"/>
  <c r="G3" i="3"/>
  <c r="G4" i="3"/>
  <c r="G5" i="3"/>
  <c r="G6" i="3"/>
  <c r="G7" i="3"/>
  <c r="G8" i="3"/>
  <c r="G9" i="3"/>
  <c r="G10" i="3"/>
  <c r="G2" i="3"/>
  <c r="F3" i="3" l="1"/>
  <c r="F4" i="3"/>
  <c r="F5" i="3"/>
  <c r="F6" i="3"/>
  <c r="F7" i="3"/>
  <c r="F8" i="3"/>
  <c r="F9" i="3"/>
  <c r="F10" i="3"/>
  <c r="F2" i="3"/>
  <c r="D3" i="3"/>
  <c r="D4" i="3"/>
  <c r="D5" i="3"/>
  <c r="D6" i="3"/>
  <c r="D7" i="3"/>
  <c r="D8" i="3"/>
  <c r="D9" i="3"/>
  <c r="D10" i="3"/>
  <c r="D2" i="3"/>
  <c r="F3" i="2"/>
  <c r="F4" i="2"/>
  <c r="F5" i="2"/>
  <c r="F6" i="2"/>
  <c r="F7" i="2"/>
  <c r="F8" i="2"/>
  <c r="F9" i="2"/>
  <c r="F10" i="2"/>
  <c r="F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tc={C0AD1AD3-AB14-4363-AEE7-2707F52F4B90}</author>
    <author>tc={4819A022-46B5-40C6-A929-5AE7C3ABFFC2}</author>
  </authors>
  <commentList>
    <comment ref="A1" authorId="0" shapeId="0" xr:uid="{C0AD1AD3-AB14-4363-AEE7-2707F52F4B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General observations:
- all samples slowly increased pH while exposed to air
- No foaming observed
- AA had considerable buffer capacity around pH of 6.5
Method:
- H2SO4, added same amount as used in field trial
- AA, added amount to math pH-level of H2O4
- added 100 μL in 1 min intervals to allow solution to restabilize </t>
      </text>
    </comment>
    <comment ref="E1" authorId="1" shapeId="0" xr:uid="{4819A022-46B5-40C6-A929-5AE7C3ABFFC2}">
      <text>
        <t>[Threaded comment]
Your version of Excel allows you to read this threaded comment; however, any edits to it will get removed if the file is opened in a newer version of Excel. Learn more: https://go.microsoft.com/fwlink/?linkid=870924
Comment:
    Other meassurements were done the day before the exp
Actual meausrement time was 10:17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tc={A485F1A9-0466-436B-B751-AA6178C6D399}</author>
    <author>tc={13C12FA9-EEBF-47E4-BBD0-D59E8ABE06C6}</author>
  </authors>
  <commentList>
    <comment ref="A1" authorId="0" shapeId="0" xr:uid="{A485F1A9-0466-436B-B751-AA6178C6D399}">
      <text>
        <t>[Threaded comment]
Your version of Excel allows you to read this threaded comment; however, any edits to it will get removed if the file is opened in a newer version of Excel. Learn more: https://go.microsoft.com/fwlink/?linkid=870924
Comment:
    AA = Acetic acid
H = H2SO4
U = Untreated</t>
      </text>
    </comment>
    <comment ref="B11" authorId="1" shapeId="0" xr:uid="{13C12FA9-EEBF-47E4-BBD0-D59E8ABE06C6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amount of water added - i.e. not the same dilution factor as the other samples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tc={2CC04251-676B-4A70-98C9-6C16A86A16B9}</author>
  </authors>
  <commentList>
    <comment ref="H1" authorId="0" shapeId="0" xr:uid="{2CC04251-676B-4A70-98C9-6C16A86A16B9}">
      <text>
        <t>[Threaded comment]
Your version of Excel allows you to read this threaded comment; however, any edits to it will get removed if the file is opened in a newer version of Excel. Learn more: https://go.microsoft.com/fwlink/?linkid=870924
Comment:
    %DM during field exp were also around 6-7 % 
I am yet again surprised the variance in the acidified samples are smaller, however in this case it might be better explaned by the lower mass of these samples</t>
      </text>
    </comment>
  </commentList>
</comments>
</file>

<file path=xl/sharedStrings.xml><?xml version="1.0" encoding="utf-8"?>
<sst xmlns="http://schemas.openxmlformats.org/spreadsheetml/2006/main" count="48" uniqueCount="40">
  <si>
    <t>ID</t>
  </si>
  <si>
    <t>AA</t>
  </si>
  <si>
    <t>H2SO4</t>
  </si>
  <si>
    <t>Untreated</t>
  </si>
  <si>
    <t>m(slurry) [g]</t>
  </si>
  <si>
    <t>pH (before)</t>
  </si>
  <si>
    <t>pH(after)</t>
  </si>
  <si>
    <t>-</t>
  </si>
  <si>
    <t>V(acid) [mL]</t>
  </si>
  <si>
    <t>pH(at aplication)</t>
  </si>
  <si>
    <t>m(sample) [g]</t>
  </si>
  <si>
    <t>AA1</t>
  </si>
  <si>
    <t>AA2</t>
  </si>
  <si>
    <t>AA3</t>
  </si>
  <si>
    <t>H1</t>
  </si>
  <si>
    <t>H2</t>
  </si>
  <si>
    <t>H3</t>
  </si>
  <si>
    <t>U1</t>
  </si>
  <si>
    <t>U2</t>
  </si>
  <si>
    <t>U3</t>
  </si>
  <si>
    <t>STD1</t>
  </si>
  <si>
    <t>STD2</t>
  </si>
  <si>
    <t>m expected [g]</t>
  </si>
  <si>
    <t>Dilution factor [-]</t>
  </si>
  <si>
    <t>c NH4-N (diluted) [mg/L]</t>
  </si>
  <si>
    <t>NH4-N (sample) [g/L]</t>
  </si>
  <si>
    <t>m(alue) [g]</t>
  </si>
  <si>
    <t>u1</t>
  </si>
  <si>
    <t>u2</t>
  </si>
  <si>
    <t>u3</t>
  </si>
  <si>
    <t>m(wet + alue) [g]</t>
  </si>
  <si>
    <t>m(wet)</t>
  </si>
  <si>
    <t>m(dry + alue) [g]</t>
  </si>
  <si>
    <t>m(dry)</t>
  </si>
  <si>
    <t>%DM</t>
  </si>
  <si>
    <t>%DM std-dev</t>
  </si>
  <si>
    <t>%DM avg</t>
  </si>
  <si>
    <r>
      <t xml:space="preserve">NH4-N (sample) [g/L] </t>
    </r>
    <r>
      <rPr>
        <b/>
        <sz val="11"/>
        <color theme="1"/>
        <rFont val="Calibri"/>
        <family val="2"/>
        <scheme val="minor"/>
      </rPr>
      <t xml:space="preserve">Mean </t>
    </r>
  </si>
  <si>
    <r>
      <t xml:space="preserve">NH4-N (sample) [g/L] </t>
    </r>
    <r>
      <rPr>
        <b/>
        <sz val="11"/>
        <color theme="1"/>
        <rFont val="Calibri"/>
        <family val="2"/>
        <scheme val="minor"/>
      </rPr>
      <t>stdev</t>
    </r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</si>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</sst>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298C596E-E9DF-4FAE-B6FA-67EB1BFD5A54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18T14:34:07.79" personId="{298C596E-E9DF-4FAE-B6FA-67EB1BFD5A54}" id="{C0AD1AD3-AB14-4363-AEE7-2707F52F4B90}">
    <text xml:space="preserve">General observations:
- all samples slowly increased pH while exposed to air
- No foaming observed
- AA had considerable buffer capacity around pH of 6.5
Method:
- H2SO4, added same amount as used in field trial
- AA, added amount to math pH-level of H2O4
- added 100 μL in 1 min intervals to allow solution to restabilize </text>
  </threadedComment>
  <threadedComment ref="E1" dT="2026-02-22T14:08:42.71" personId="{298C596E-E9DF-4FAE-B6FA-67EB1BFD5A54}" id="{4819A022-46B5-40C6-A929-5AE7C3ABFFC2}">
    <text>Other meassurements were done the day before the exp
Actual meausrement time was 10:17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2-22T14:16:25.16" personId="{298C596E-E9DF-4FAE-B6FA-67EB1BFD5A54}" id="{A485F1A9-0466-436B-B751-AA6178C6D399}">
    <text>AA = Acetic acid
H = H2SO4
U = Untreated</text>
  </threadedComment>
  <threadedComment ref="B11" dT="2026-02-22T14:19:08.25" personId="{298C596E-E9DF-4FAE-B6FA-67EB1BFD5A54}" id="{13C12FA9-EEBF-47E4-BBD0-D59E8ABE06C6}">
    <text>Same amount of water added - i.e. not the same dilution factor as the other samples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" dT="2026-02-25T10:01:20.20" personId="{298C596E-E9DF-4FAE-B6FA-67EB1BFD5A54}" id="{2CC04251-676B-4A70-98C9-6C16A86A16B9}">
    <text>%DM during field exp were also around 6-7 % 
I am yet again surprised the variance in the acidified samples are smaller, however in this case it might be better explaned by the lower mass of these samples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E1" sqref="E1"/>
    </sheetView>
  </sheetViews>
  <sheetFormatPr defaultRowHeight="14.4" x14ac:dyDescent="0.3"/>
  <cols>
    <col min="1" max="1" width="9.33203125" bestFit="1" customWidth="1"/>
    <col min="2" max="2" width="10.77734375" bestFit="1" customWidth="1"/>
    <col min="3" max="4" width="10.21875" bestFit="1" customWidth="1"/>
    <col min="5" max="6" width="14.5546875" bestFit="1" customWidth="1"/>
  </cols>
  <sheetData>
    <row r="1" spans="1:6" x14ac:dyDescent="0.3">
      <c r="A1" s="1" t="s">
        <v>0</v>
      </c>
      <c r="B1" t="s">
        <v>4</v>
      </c>
      <c r="C1" t="s">
        <v>5</v>
      </c>
      <c r="D1" t="s">
        <v>6</v>
      </c>
      <c r="E1" t="s">
        <v>9</v>
      </c>
      <c r="F1" t="s">
        <v>8</v>
      </c>
    </row>
    <row r="2" spans="1:6" x14ac:dyDescent="0.3">
      <c r="A2" t="s">
        <v>1</v>
      </c>
      <c r="B2">
        <v>500.03800000000001</v>
      </c>
      <c r="C2">
        <v>7.02</v>
      </c>
      <c r="D2">
        <v>6.02</v>
      </c>
      <c r="E2">
        <v>6.11</v>
      </c>
      <c r="F2" s="2">
        <v>0.79</v>
      </c>
    </row>
    <row r="3" spans="1:6" x14ac:dyDescent="0.3">
      <c r="A3" t="s">
        <v>2</v>
      </c>
      <c r="B3">
        <v>500.048</v>
      </c>
      <c r="C3">
        <v>7.01</v>
      </c>
      <c r="D3">
        <v>6.01</v>
      </c>
      <c r="E3">
        <v>6.12</v>
      </c>
      <c r="F3" s="2">
        <v>1.75</v>
      </c>
    </row>
    <row r="4" spans="1:6" x14ac:dyDescent="0.3">
      <c r="A4" t="s">
        <v>3</v>
      </c>
      <c r="B4">
        <v>500.02</v>
      </c>
      <c r="C4">
        <v>6.97</v>
      </c>
      <c r="D4" t="s">
        <v>7</v>
      </c>
      <c r="E4">
        <v>7.03</v>
      </c>
      <c r="F4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6BAF-82F2-4D49-ABBC-1E07DACE7AB7}">
  <dimension ref="A1:H12"/>
  <sheetViews>
    <sheetView tabSelected="1" workbookViewId="0">
      <selection activeCell="H13" sqref="H13"/>
    </sheetView>
  </sheetViews>
  <sheetFormatPr defaultRowHeight="14.4" x14ac:dyDescent="0.3"/>
  <cols>
    <col min="2" max="2" width="12.109375" bestFit="1" customWidth="1"/>
    <col min="3" max="3" width="21.109375" bestFit="1" customWidth="1"/>
    <col min="4" max="4" width="13.21875" bestFit="1" customWidth="1"/>
    <col min="5" max="5" width="15.33203125" bestFit="1" customWidth="1"/>
    <col min="6" max="6" width="18.44140625" bestFit="1" customWidth="1"/>
    <col min="7" max="7" width="24.109375" bestFit="1" customWidth="1"/>
    <col min="8" max="8" width="23.33203125" bestFit="1" customWidth="1"/>
  </cols>
  <sheetData>
    <row r="1" spans="1:8" x14ac:dyDescent="0.3">
      <c r="A1" t="s">
        <v>0</v>
      </c>
      <c r="B1" t="s">
        <v>10</v>
      </c>
      <c r="C1" t="s">
        <v>24</v>
      </c>
      <c r="D1" t="s">
        <v>22</v>
      </c>
      <c r="E1" t="s">
        <v>23</v>
      </c>
      <c r="F1" t="s">
        <v>25</v>
      </c>
      <c r="G1" t="s">
        <v>37</v>
      </c>
      <c r="H1" t="s">
        <v>38</v>
      </c>
    </row>
    <row r="2" spans="1:8" x14ac:dyDescent="0.3">
      <c r="A2" t="s">
        <v>11</v>
      </c>
      <c r="B2" s="3">
        <v>1.052</v>
      </c>
      <c r="C2">
        <v>72</v>
      </c>
      <c r="D2" s="2">
        <v>1</v>
      </c>
      <c r="E2">
        <v>50</v>
      </c>
      <c r="F2" s="4">
        <f>((C2*D2*E2)/B2)/1000</f>
        <v>3.422053231939163</v>
      </c>
    </row>
    <row r="3" spans="1:8" x14ac:dyDescent="0.3">
      <c r="A3" t="s">
        <v>12</v>
      </c>
      <c r="B3">
        <v>1.0044999999999999</v>
      </c>
      <c r="C3">
        <v>72</v>
      </c>
      <c r="D3" s="2">
        <v>1</v>
      </c>
      <c r="E3">
        <v>50</v>
      </c>
      <c r="F3" s="4">
        <f t="shared" ref="F3:F12" si="0">((C3*D3*E3)/B3)/1000</f>
        <v>3.5838725734196117</v>
      </c>
    </row>
    <row r="4" spans="1:8" x14ac:dyDescent="0.3">
      <c r="A4" t="s">
        <v>13</v>
      </c>
      <c r="B4">
        <v>1.0115000000000001</v>
      </c>
      <c r="C4">
        <v>64</v>
      </c>
      <c r="D4" s="2">
        <v>1</v>
      </c>
      <c r="E4">
        <v>50</v>
      </c>
      <c r="F4" s="4">
        <f t="shared" si="0"/>
        <v>3.1636183885318832</v>
      </c>
      <c r="G4" s="4">
        <f>AVERAGE(F2:F4)</f>
        <v>3.3898480646302196</v>
      </c>
      <c r="H4">
        <f>_xlfn.STDEV.P(F2:F4)</f>
        <v>0.17307276808702957</v>
      </c>
    </row>
    <row r="5" spans="1:8" x14ac:dyDescent="0.3">
      <c r="A5" t="s">
        <v>14</v>
      </c>
      <c r="B5">
        <v>1.0355000000000001</v>
      </c>
      <c r="C5">
        <v>71</v>
      </c>
      <c r="D5" s="2">
        <v>1</v>
      </c>
      <c r="E5">
        <v>50</v>
      </c>
      <c r="F5" s="4">
        <f t="shared" si="0"/>
        <v>3.428295509415741</v>
      </c>
    </row>
    <row r="6" spans="1:8" x14ac:dyDescent="0.3">
      <c r="A6" t="s">
        <v>15</v>
      </c>
      <c r="B6">
        <v>1.0290999999999999</v>
      </c>
      <c r="C6">
        <v>72</v>
      </c>
      <c r="D6" s="2">
        <v>1</v>
      </c>
      <c r="E6">
        <v>50</v>
      </c>
      <c r="F6" s="4">
        <f t="shared" si="0"/>
        <v>3.498202312700418</v>
      </c>
    </row>
    <row r="7" spans="1:8" x14ac:dyDescent="0.3">
      <c r="A7" t="s">
        <v>16</v>
      </c>
      <c r="B7">
        <v>1.0528999999999999</v>
      </c>
      <c r="C7">
        <v>69</v>
      </c>
      <c r="D7" s="2">
        <v>1</v>
      </c>
      <c r="E7">
        <v>50</v>
      </c>
      <c r="F7" s="4">
        <f t="shared" si="0"/>
        <v>3.2766644505651059</v>
      </c>
      <c r="G7" s="4">
        <f>AVERAGE(F5:F7)</f>
        <v>3.401054090893755</v>
      </c>
      <c r="H7">
        <f>_xlfn.STDEV.P(F5:F7)</f>
        <v>9.2470994559334274E-2</v>
      </c>
    </row>
    <row r="8" spans="1:8" x14ac:dyDescent="0.3">
      <c r="A8" t="s">
        <v>17</v>
      </c>
      <c r="B8">
        <v>1.0108999999999999</v>
      </c>
      <c r="C8">
        <v>71</v>
      </c>
      <c r="D8" s="2">
        <v>1</v>
      </c>
      <c r="E8">
        <v>50</v>
      </c>
      <c r="F8" s="4">
        <f t="shared" si="0"/>
        <v>3.5117222277178755</v>
      </c>
    </row>
    <row r="9" spans="1:8" x14ac:dyDescent="0.3">
      <c r="A9" t="s">
        <v>18</v>
      </c>
      <c r="B9">
        <v>1.0511999999999999</v>
      </c>
      <c r="C9">
        <v>75</v>
      </c>
      <c r="D9" s="2">
        <v>1</v>
      </c>
      <c r="E9">
        <v>50</v>
      </c>
      <c r="F9" s="4">
        <f t="shared" si="0"/>
        <v>3.5673515981735164</v>
      </c>
    </row>
    <row r="10" spans="1:8" x14ac:dyDescent="0.3">
      <c r="A10" t="s">
        <v>19</v>
      </c>
      <c r="B10">
        <v>1.0076000000000001</v>
      </c>
      <c r="C10">
        <v>66</v>
      </c>
      <c r="D10" s="2">
        <v>1</v>
      </c>
      <c r="E10">
        <v>50</v>
      </c>
      <c r="F10" s="4">
        <f t="shared" si="0"/>
        <v>3.2751091703056767</v>
      </c>
      <c r="G10" s="4">
        <f>AVERAGE(F8:F10)</f>
        <v>3.4513943320656892</v>
      </c>
      <c r="H10">
        <f>_xlfn.STDEV.P(F8:F10)</f>
        <v>0.12670438142092311</v>
      </c>
    </row>
    <row r="11" spans="1:8" x14ac:dyDescent="0.3">
      <c r="A11" t="s">
        <v>20</v>
      </c>
      <c r="B11">
        <v>0.50839999999999996</v>
      </c>
      <c r="C11">
        <v>35</v>
      </c>
      <c r="D11" s="2">
        <v>0.5</v>
      </c>
      <c r="E11">
        <v>99</v>
      </c>
      <c r="F11" s="4">
        <f t="shared" si="0"/>
        <v>3.4077498033044851</v>
      </c>
    </row>
    <row r="12" spans="1:8" x14ac:dyDescent="0.3">
      <c r="A12" t="s">
        <v>21</v>
      </c>
      <c r="B12">
        <v>0.50829999999999997</v>
      </c>
      <c r="C12">
        <v>38</v>
      </c>
      <c r="D12" s="2">
        <v>0.5</v>
      </c>
      <c r="E12">
        <v>99</v>
      </c>
      <c r="F12" s="4">
        <f>((C12*D12*E12)/B12)/1000</f>
        <v>3.7005705292150304</v>
      </c>
      <c r="G12" s="4">
        <f>AVERAGE(F11:F12)</f>
        <v>3.5541601662597575</v>
      </c>
      <c r="H12" t="s">
        <v>39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3D55-02E8-4C35-A092-3068BFF0F42C}">
  <dimension ref="A1:I10"/>
  <sheetViews>
    <sheetView workbookViewId="0">
      <selection activeCell="J16" sqref="J16"/>
    </sheetView>
  </sheetViews>
  <sheetFormatPr defaultRowHeight="14.4" x14ac:dyDescent="0.3"/>
  <cols>
    <col min="3" max="3" width="14.88671875" bestFit="1" customWidth="1"/>
    <col min="5" max="5" width="14.33203125" bestFit="1" customWidth="1"/>
    <col min="8" max="8" width="8.5546875" bestFit="1" customWidth="1"/>
    <col min="9" max="9" width="12" bestFit="1" customWidth="1"/>
  </cols>
  <sheetData>
    <row r="1" spans="1:9" x14ac:dyDescent="0.3">
      <c r="A1" t="s">
        <v>0</v>
      </c>
      <c r="B1" t="s">
        <v>26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36</v>
      </c>
      <c r="I1" t="s">
        <v>35</v>
      </c>
    </row>
    <row r="2" spans="1:9" x14ac:dyDescent="0.3">
      <c r="A2" t="s">
        <v>27</v>
      </c>
      <c r="B2">
        <v>4.2729999999999997</v>
      </c>
      <c r="C2">
        <v>29.349</v>
      </c>
      <c r="D2">
        <f>C2-B2</f>
        <v>25.076000000000001</v>
      </c>
      <c r="E2">
        <v>5.3280000000000003</v>
      </c>
      <c r="F2">
        <f>E2-B2</f>
        <v>1.0550000000000006</v>
      </c>
      <c r="G2" s="2">
        <f>(F2/D2)*100</f>
        <v>4.2072100813526898</v>
      </c>
    </row>
    <row r="3" spans="1:9" x14ac:dyDescent="0.3">
      <c r="A3" t="s">
        <v>28</v>
      </c>
      <c r="B3">
        <v>4.266</v>
      </c>
      <c r="C3">
        <v>31.917000000000002</v>
      </c>
      <c r="D3">
        <f t="shared" ref="D3:D10" si="0">C3-B3</f>
        <v>27.651000000000003</v>
      </c>
      <c r="E3" s="2">
        <v>5.85</v>
      </c>
      <c r="F3">
        <f t="shared" ref="F3:F10" si="1">E3-B3</f>
        <v>1.5839999999999996</v>
      </c>
      <c r="G3" s="2">
        <f t="shared" ref="G3:G10" si="2">(F3/D3)*100</f>
        <v>5.7285450797439488</v>
      </c>
    </row>
    <row r="4" spans="1:9" x14ac:dyDescent="0.3">
      <c r="A4" t="s">
        <v>29</v>
      </c>
      <c r="B4">
        <v>4.2619999999999996</v>
      </c>
      <c r="C4" s="2">
        <v>23.88</v>
      </c>
      <c r="D4">
        <f t="shared" si="0"/>
        <v>19.617999999999999</v>
      </c>
      <c r="E4">
        <v>5.5839999999999996</v>
      </c>
      <c r="F4">
        <f t="shared" si="1"/>
        <v>1.3220000000000001</v>
      </c>
      <c r="G4" s="2">
        <f t="shared" si="2"/>
        <v>6.7387093485574479</v>
      </c>
      <c r="H4" s="5">
        <f>AVERAGE(G2:G4)</f>
        <v>5.5581548365513624</v>
      </c>
      <c r="I4" s="2">
        <f>_xlfn.STDEV.P(G2:G4)</f>
        <v>1.0404796205583828</v>
      </c>
    </row>
    <row r="5" spans="1:9" x14ac:dyDescent="0.3">
      <c r="A5" t="s">
        <v>14</v>
      </c>
      <c r="B5">
        <v>4.2690000000000001</v>
      </c>
      <c r="C5">
        <v>49.179000000000002</v>
      </c>
      <c r="D5">
        <f t="shared" si="0"/>
        <v>44.910000000000004</v>
      </c>
      <c r="E5">
        <v>6.6079999999999997</v>
      </c>
      <c r="F5">
        <f t="shared" si="1"/>
        <v>2.3389999999999995</v>
      </c>
      <c r="G5" s="2">
        <f t="shared" si="2"/>
        <v>5.2081941661099966</v>
      </c>
    </row>
    <row r="6" spans="1:9" x14ac:dyDescent="0.3">
      <c r="A6" t="s">
        <v>15</v>
      </c>
      <c r="B6">
        <v>4.2610000000000001</v>
      </c>
      <c r="C6">
        <v>67.694000000000003</v>
      </c>
      <c r="D6">
        <f t="shared" si="0"/>
        <v>63.433</v>
      </c>
      <c r="E6" s="2">
        <v>7.74</v>
      </c>
      <c r="F6">
        <f t="shared" si="1"/>
        <v>3.4790000000000001</v>
      </c>
      <c r="G6" s="2">
        <f t="shared" si="2"/>
        <v>5.4845269812242838</v>
      </c>
    </row>
    <row r="7" spans="1:9" x14ac:dyDescent="0.3">
      <c r="A7" t="s">
        <v>16</v>
      </c>
      <c r="B7">
        <v>4.2649999999999997</v>
      </c>
      <c r="C7">
        <v>53.735999999999997</v>
      </c>
      <c r="D7">
        <f t="shared" si="0"/>
        <v>49.470999999999997</v>
      </c>
      <c r="E7">
        <v>6.798</v>
      </c>
      <c r="F7">
        <f t="shared" si="1"/>
        <v>2.5330000000000004</v>
      </c>
      <c r="G7" s="2">
        <f t="shared" si="2"/>
        <v>5.1201714135554175</v>
      </c>
      <c r="H7" s="5">
        <f>AVERAGE(G5:G7)</f>
        <v>5.2709641869632327</v>
      </c>
      <c r="I7" s="2">
        <f>_xlfn.STDEV.P(G5:G7)</f>
        <v>0.15522843717408272</v>
      </c>
    </row>
    <row r="8" spans="1:9" x14ac:dyDescent="0.3">
      <c r="A8" t="s">
        <v>11</v>
      </c>
      <c r="B8" s="2">
        <v>4.2699999999999996</v>
      </c>
      <c r="C8">
        <v>44.493000000000002</v>
      </c>
      <c r="D8">
        <f t="shared" si="0"/>
        <v>40.222999999999999</v>
      </c>
      <c r="E8">
        <v>6.375</v>
      </c>
      <c r="F8">
        <f t="shared" si="1"/>
        <v>2.1050000000000004</v>
      </c>
      <c r="G8" s="2">
        <f t="shared" si="2"/>
        <v>5.2333242174875085</v>
      </c>
    </row>
    <row r="9" spans="1:9" x14ac:dyDescent="0.3">
      <c r="A9" t="s">
        <v>12</v>
      </c>
      <c r="B9">
        <v>4.2709999999999999</v>
      </c>
      <c r="C9">
        <v>70.081000000000003</v>
      </c>
      <c r="D9">
        <f t="shared" si="0"/>
        <v>65.81</v>
      </c>
      <c r="E9">
        <v>7.782</v>
      </c>
      <c r="F9">
        <f t="shared" si="1"/>
        <v>3.5110000000000001</v>
      </c>
      <c r="G9" s="2">
        <f t="shared" si="2"/>
        <v>5.3350554626956388</v>
      </c>
    </row>
    <row r="10" spans="1:9" x14ac:dyDescent="0.3">
      <c r="A10" t="s">
        <v>13</v>
      </c>
      <c r="B10">
        <v>4.28</v>
      </c>
      <c r="C10">
        <v>49.945</v>
      </c>
      <c r="D10">
        <f t="shared" si="0"/>
        <v>45.664999999999999</v>
      </c>
      <c r="E10">
        <v>7.3010000000000002</v>
      </c>
      <c r="F10">
        <f t="shared" si="1"/>
        <v>3.0209999999999999</v>
      </c>
      <c r="G10" s="2">
        <f t="shared" si="2"/>
        <v>6.6155699113106312</v>
      </c>
      <c r="H10" s="5">
        <f>AVERAGE(G8:G10)</f>
        <v>5.7279831971645931</v>
      </c>
      <c r="I10" s="2">
        <f>_xlfn.STDEV.P(G8:G10)</f>
        <v>0.62899122564591436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Acidification</vt:lpstr>
      <vt:lpstr>TAN</vt:lpstr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2026-03-16T16:13:55Z</dcterms:modified>
</cp:coreProperties>
</file>