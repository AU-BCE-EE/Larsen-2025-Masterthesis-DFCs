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"/>
    </mc:Choice>
  </mc:AlternateContent>
  <xr:revisionPtr revIDLastSave="0" documentId="13_ncr:1_{3E8C1D37-3219-4984-AD55-51DD4A7A873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N" sheetId="1" r:id="rId1"/>
    <sheet name="ApplicationRate" sheetId="3" r:id="rId2"/>
    <sheet name="DM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2" i="3"/>
  <c r="K2" i="3"/>
  <c r="E3" i="3"/>
  <c r="E2" i="3"/>
  <c r="G3" i="3"/>
  <c r="G2" i="3"/>
  <c r="I3" i="3"/>
  <c r="I2" i="3"/>
  <c r="B3" i="3"/>
  <c r="D3" i="3" s="1"/>
  <c r="B2" i="3"/>
  <c r="D2" i="3" s="1"/>
  <c r="G2" i="1"/>
  <c r="F2" i="2"/>
  <c r="F4" i="2"/>
  <c r="D4" i="2"/>
  <c r="F3" i="2"/>
  <c r="D3" i="2"/>
  <c r="D2" i="2"/>
  <c r="G7" i="1"/>
  <c r="G6" i="1"/>
  <c r="G5" i="1"/>
  <c r="G4" i="1"/>
  <c r="G3" i="1"/>
  <c r="J2" i="3" l="1"/>
  <c r="J3" i="3"/>
  <c r="K3" i="3" s="1"/>
  <c r="G3" i="2"/>
  <c r="G4" i="2"/>
  <c r="I4" i="2" s="1"/>
  <c r="G2" i="2"/>
  <c r="I7" i="1"/>
  <c r="H7" i="1"/>
  <c r="I4" i="1"/>
  <c r="H4" i="1"/>
  <c r="H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tc={3010D286-DD46-4595-B85E-FCD64EF9B2C1}</author>
  </authors>
  <commentList>
    <comment ref="A1" authorId="0" shapeId="0" xr:uid="{3010D286-DD46-4595-B85E-FCD64EF9B2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SL = (cattle) slurry
STD = ammonum carbonat </t>
      </text>
    </comment>
  </commentList>
</comments>
</file>

<file path=xl/sharedStrings.xml><?xml version="1.0" encoding="utf-8"?>
<sst xmlns="http://schemas.openxmlformats.org/spreadsheetml/2006/main" count="41" uniqueCount="39">
  <si>
    <t>ID</t>
  </si>
  <si>
    <t>m(sample) [g]</t>
  </si>
  <si>
    <t>m expected [g]</t>
  </si>
  <si>
    <t>Dilution factor [-]</t>
  </si>
  <si>
    <t>NH4-N (sample) [g/L]</t>
  </si>
  <si>
    <r>
      <t xml:space="preserve">NH4-N (sample) [g/L] </t>
    </r>
    <r>
      <rPr>
        <b/>
        <sz val="11"/>
        <color theme="1"/>
        <rFont val="Calibri"/>
        <family val="2"/>
        <scheme val="minor"/>
      </rPr>
      <t xml:space="preserve">Mean </t>
    </r>
  </si>
  <si>
    <r>
      <t xml:space="preserve">NH4-N (sample) [g/L] </t>
    </r>
    <r>
      <rPr>
        <b/>
        <sz val="11"/>
        <color theme="1"/>
        <rFont val="Calibri"/>
        <family val="2"/>
        <scheme val="minor"/>
      </rPr>
      <t>stdev</t>
    </r>
  </si>
  <si>
    <t>STD1</t>
  </si>
  <si>
    <t>STD2</t>
  </si>
  <si>
    <t>SL1</t>
  </si>
  <si>
    <t>SL2</t>
  </si>
  <si>
    <t>SL3</t>
  </si>
  <si>
    <t>STD3</t>
  </si>
  <si>
    <t>pH</t>
  </si>
  <si>
    <t>m(alue) [g]</t>
  </si>
  <si>
    <t>m(wet + alue) [g]</t>
  </si>
  <si>
    <t>m(wet)</t>
  </si>
  <si>
    <t>m(dry + alue) [g]</t>
  </si>
  <si>
    <t>m(dry)</t>
  </si>
  <si>
    <t>%DM</t>
  </si>
  <si>
    <t>%DM avg</t>
  </si>
  <si>
    <t>%DM std-dev</t>
  </si>
  <si>
    <t>ML1</t>
  </si>
  <si>
    <t>ML2</t>
  </si>
  <si>
    <t>ML3</t>
  </si>
  <si>
    <t>NH4-N (diluted) [mg/L]</t>
  </si>
  <si>
    <t xml:space="preserve">ID </t>
  </si>
  <si>
    <t>Cattle slurry untreated</t>
  </si>
  <si>
    <t>Ammonium carbonate std untreated</t>
  </si>
  <si>
    <t>surface area [cm2]</t>
  </si>
  <si>
    <t>surface area [ha]</t>
  </si>
  <si>
    <t>slurry target[g or mL]</t>
  </si>
  <si>
    <t>slurry target [kg or L]</t>
  </si>
  <si>
    <t>Slurry app [L / ha]</t>
  </si>
  <si>
    <t>NH4-N [kg/L]</t>
  </si>
  <si>
    <r>
      <t xml:space="preserve">NH4-N [g/L] </t>
    </r>
    <r>
      <rPr>
        <b/>
        <sz val="11"/>
        <color theme="1"/>
        <rFont val="Calibri"/>
        <family val="2"/>
        <scheme val="minor"/>
      </rPr>
      <t>stdev</t>
    </r>
  </si>
  <si>
    <t>NH4-N stdev [kg/L]</t>
  </si>
  <si>
    <t>NH4-N app mean [kg/ha]</t>
  </si>
  <si>
    <t>NH4-N app stdev [kg/ha]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</si>
</sst>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FCAAED7B-F5F1-4553-9146-85CC0A69F825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22T14:16:25.16" personId="{FCAAED7B-F5F1-4553-9146-85CC0A69F825}" id="{3010D286-DD46-4595-B85E-FCD64EF9B2C1}">
    <text xml:space="preserve">SL = (cattle) slurry
STD = ammonum carbonat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selection activeCell="H1" sqref="H1"/>
    </sheetView>
  </sheetViews>
  <sheetFormatPr defaultRowHeight="14.4" x14ac:dyDescent="0.3"/>
  <cols>
    <col min="2" max="2" width="13.21875" bestFit="1" customWidth="1"/>
    <col min="3" max="3" width="22.44140625" bestFit="1" customWidth="1"/>
    <col min="4" max="4" width="14" bestFit="1" customWidth="1"/>
    <col min="5" max="5" width="16" bestFit="1" customWidth="1"/>
    <col min="6" max="6" width="19.44140625" bestFit="1" customWidth="1"/>
    <col min="7" max="7" width="25.109375" bestFit="1" customWidth="1"/>
    <col min="8" max="9" width="11.109375" customWidth="1"/>
  </cols>
  <sheetData>
    <row r="1" spans="1:9" ht="43.2" x14ac:dyDescent="0.3">
      <c r="A1" t="s">
        <v>0</v>
      </c>
      <c r="B1" t="s">
        <v>13</v>
      </c>
      <c r="C1" t="s">
        <v>1</v>
      </c>
      <c r="D1" s="5" t="s">
        <v>25</v>
      </c>
      <c r="E1" t="s">
        <v>2</v>
      </c>
      <c r="F1" t="s">
        <v>3</v>
      </c>
      <c r="G1" t="s">
        <v>4</v>
      </c>
      <c r="H1" s="5" t="s">
        <v>5</v>
      </c>
      <c r="I1" s="5" t="s">
        <v>6</v>
      </c>
    </row>
    <row r="2" spans="1:9" x14ac:dyDescent="0.3">
      <c r="A2" t="s">
        <v>9</v>
      </c>
      <c r="B2">
        <v>7.18</v>
      </c>
      <c r="C2" s="1">
        <v>1.0389999999999999</v>
      </c>
      <c r="D2">
        <v>46</v>
      </c>
      <c r="E2" s="2">
        <v>1</v>
      </c>
      <c r="F2">
        <v>50</v>
      </c>
      <c r="G2" s="3">
        <f>((D2*E2*F2)/C2)/1000</f>
        <v>2.2136669874879695</v>
      </c>
    </row>
    <row r="3" spans="1:9" x14ac:dyDescent="0.3">
      <c r="A3" t="s">
        <v>10</v>
      </c>
      <c r="B3">
        <v>7.18</v>
      </c>
      <c r="C3">
        <v>1.0096000000000001</v>
      </c>
      <c r="D3">
        <v>44</v>
      </c>
      <c r="E3" s="2">
        <v>1</v>
      </c>
      <c r="F3">
        <v>50</v>
      </c>
      <c r="G3" s="3">
        <f t="shared" ref="G3:G7" si="0">((D3*E3*F3)/C3)/1000</f>
        <v>2.1790808240887478</v>
      </c>
    </row>
    <row r="4" spans="1:9" x14ac:dyDescent="0.3">
      <c r="A4" t="s">
        <v>11</v>
      </c>
      <c r="B4">
        <v>7.18</v>
      </c>
      <c r="C4">
        <v>1.0019</v>
      </c>
      <c r="D4">
        <v>43</v>
      </c>
      <c r="E4" s="2">
        <v>1</v>
      </c>
      <c r="F4">
        <v>50</v>
      </c>
      <c r="G4" s="3">
        <f t="shared" si="0"/>
        <v>2.1459227467811162</v>
      </c>
      <c r="H4" s="3">
        <f>AVERAGE(G2:G4)</f>
        <v>2.1795568527859444</v>
      </c>
      <c r="I4" s="3">
        <f>_xlfn.STDEV.P(G2:G4)</f>
        <v>2.7658518756764474E-2</v>
      </c>
    </row>
    <row r="5" spans="1:9" x14ac:dyDescent="0.3">
      <c r="A5" t="s">
        <v>7</v>
      </c>
      <c r="B5">
        <v>8.07</v>
      </c>
      <c r="C5" s="1">
        <v>1.0109999999999999</v>
      </c>
      <c r="D5">
        <v>78</v>
      </c>
      <c r="E5" s="2">
        <v>1</v>
      </c>
      <c r="F5">
        <v>50</v>
      </c>
      <c r="G5" s="3">
        <f t="shared" si="0"/>
        <v>3.8575667655786354</v>
      </c>
    </row>
    <row r="6" spans="1:9" x14ac:dyDescent="0.3">
      <c r="A6" t="s">
        <v>8</v>
      </c>
      <c r="B6">
        <v>8.07</v>
      </c>
      <c r="C6">
        <v>1.0321</v>
      </c>
      <c r="D6">
        <v>93</v>
      </c>
      <c r="E6" s="2">
        <v>1</v>
      </c>
      <c r="F6">
        <v>50</v>
      </c>
      <c r="G6" s="3">
        <f t="shared" si="0"/>
        <v>4.5053773859122179</v>
      </c>
    </row>
    <row r="7" spans="1:9" x14ac:dyDescent="0.3">
      <c r="A7" t="s">
        <v>12</v>
      </c>
      <c r="B7">
        <v>8.07</v>
      </c>
      <c r="C7">
        <v>1.0082</v>
      </c>
      <c r="D7">
        <v>88</v>
      </c>
      <c r="E7" s="2">
        <v>1</v>
      </c>
      <c r="F7">
        <v>50</v>
      </c>
      <c r="G7" s="3">
        <f t="shared" si="0"/>
        <v>4.3642134497123592</v>
      </c>
      <c r="H7" s="3">
        <f>AVERAGE(G5:G7)</f>
        <v>4.2423858670677381</v>
      </c>
      <c r="I7" s="3">
        <f>_xlfn.STDEV.P(G5:G7)</f>
        <v>0.27814399133544643</v>
      </c>
    </row>
    <row r="8" spans="1:9" x14ac:dyDescent="0.3">
      <c r="D8" s="2"/>
      <c r="F8" s="3"/>
    </row>
    <row r="9" spans="1:9" x14ac:dyDescent="0.3">
      <c r="D9" s="2"/>
      <c r="F9" s="3"/>
    </row>
    <row r="10" spans="1:9" x14ac:dyDescent="0.3">
      <c r="D10" s="2"/>
      <c r="F10" s="3"/>
      <c r="G10" s="3"/>
    </row>
    <row r="11" spans="1:9" x14ac:dyDescent="0.3">
      <c r="D11" s="2"/>
      <c r="F11" s="3"/>
    </row>
    <row r="12" spans="1:9" x14ac:dyDescent="0.3">
      <c r="D12" s="2"/>
      <c r="F12" s="3"/>
      <c r="G12" s="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6D30-F315-45EA-8286-DA780B683219}">
  <dimension ref="A1:L3"/>
  <sheetViews>
    <sheetView tabSelected="1" topLeftCell="B1" workbookViewId="0">
      <selection sqref="A1:L3"/>
    </sheetView>
  </sheetViews>
  <sheetFormatPr defaultRowHeight="14.4" x14ac:dyDescent="0.3"/>
  <cols>
    <col min="1" max="1" width="31" bestFit="1" customWidth="1"/>
    <col min="2" max="2" width="11.109375" customWidth="1"/>
    <col min="3" max="3" width="18.33203125" bestFit="1" customWidth="1"/>
    <col min="4" max="4" width="18.109375" bestFit="1" customWidth="1"/>
    <col min="5" max="5" width="16.44140625" bestFit="1" customWidth="1"/>
    <col min="6" max="6" width="18.33203125" bestFit="1" customWidth="1"/>
    <col min="7" max="8" width="15.44140625" bestFit="1" customWidth="1"/>
    <col min="9" max="10" width="16.44140625" bestFit="1" customWidth="1"/>
    <col min="11" max="11" width="21.6640625" bestFit="1" customWidth="1"/>
    <col min="12" max="12" width="21.44140625" bestFit="1" customWidth="1"/>
  </cols>
  <sheetData>
    <row r="1" spans="1:12" ht="43.2" x14ac:dyDescent="0.3">
      <c r="A1" t="s">
        <v>26</v>
      </c>
      <c r="B1" s="5" t="s">
        <v>5</v>
      </c>
      <c r="C1" t="s">
        <v>35</v>
      </c>
      <c r="D1" t="s">
        <v>34</v>
      </c>
      <c r="E1" t="s">
        <v>36</v>
      </c>
      <c r="F1" t="s">
        <v>31</v>
      </c>
      <c r="G1" t="s">
        <v>32</v>
      </c>
      <c r="H1" t="s">
        <v>29</v>
      </c>
      <c r="I1" t="s">
        <v>30</v>
      </c>
      <c r="J1" t="s">
        <v>33</v>
      </c>
      <c r="K1" t="s">
        <v>37</v>
      </c>
      <c r="L1" t="s">
        <v>38</v>
      </c>
    </row>
    <row r="2" spans="1:12" x14ac:dyDescent="0.3">
      <c r="A2" t="s">
        <v>27</v>
      </c>
      <c r="B2" s="3">
        <f>TAN!H4</f>
        <v>2.1795568527859444</v>
      </c>
      <c r="C2">
        <v>0.03</v>
      </c>
      <c r="D2" s="1">
        <f>B2*10^-3</f>
        <v>2.1795568527859443E-3</v>
      </c>
      <c r="E2">
        <f>C2*10^-3</f>
        <v>3.0000000000000001E-5</v>
      </c>
      <c r="F2" s="4">
        <v>2</v>
      </c>
      <c r="G2">
        <f>F2*10^-3</f>
        <v>2E-3</v>
      </c>
      <c r="H2">
        <v>28.27</v>
      </c>
      <c r="I2">
        <f>H2*10^-8</f>
        <v>2.8270000000000001E-7</v>
      </c>
      <c r="J2" s="6">
        <f>G2/I2</f>
        <v>7074.6374248319771</v>
      </c>
      <c r="K2" s="4">
        <f>D2*J2</f>
        <v>15.419574480268441</v>
      </c>
      <c r="L2" s="4">
        <f>J2*E2</f>
        <v>0.21223912274495932</v>
      </c>
    </row>
    <row r="3" spans="1:12" x14ac:dyDescent="0.3">
      <c r="A3" t="s">
        <v>28</v>
      </c>
      <c r="B3" s="3">
        <f>TAN!H7</f>
        <v>4.2423858670677381</v>
      </c>
      <c r="C3">
        <v>0.28000000000000003</v>
      </c>
      <c r="D3" s="1">
        <f>B3*10^-3</f>
        <v>4.2423858670677383E-3</v>
      </c>
      <c r="E3">
        <f>C3*10^-3</f>
        <v>2.8000000000000003E-4</v>
      </c>
      <c r="F3" s="4">
        <v>2</v>
      </c>
      <c r="G3">
        <f>F3*10^-3</f>
        <v>2E-3</v>
      </c>
      <c r="H3">
        <v>28.27</v>
      </c>
      <c r="I3">
        <f>H3*10^-8</f>
        <v>2.8270000000000001E-7</v>
      </c>
      <c r="J3" s="6">
        <f>G3/I3</f>
        <v>7074.6374248319771</v>
      </c>
      <c r="K3" s="4">
        <f>D3*J3</f>
        <v>30.013341825735679</v>
      </c>
      <c r="L3" s="4">
        <f>J3*E3</f>
        <v>1.9808984789529538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F488-66DC-4E6C-A2BD-1AE1E849C347}">
  <dimension ref="A1:I10"/>
  <sheetViews>
    <sheetView workbookViewId="0">
      <selection activeCell="I4" sqref="I4"/>
    </sheetView>
  </sheetViews>
  <sheetFormatPr defaultRowHeight="14.4" x14ac:dyDescent="0.3"/>
  <cols>
    <col min="2" max="2" width="10.5546875" bestFit="1" customWidth="1"/>
    <col min="3" max="3" width="15.77734375" bestFit="1" customWidth="1"/>
    <col min="5" max="5" width="15.21875" bestFit="1" customWidth="1"/>
    <col min="7" max="7" width="10.21875" customWidth="1"/>
  </cols>
  <sheetData>
    <row r="1" spans="1:9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x14ac:dyDescent="0.3">
      <c r="A2" t="s">
        <v>22</v>
      </c>
      <c r="B2">
        <v>4.2969999999999997</v>
      </c>
      <c r="C2">
        <v>38.987000000000002</v>
      </c>
      <c r="D2">
        <f>C2-B2</f>
        <v>34.690000000000005</v>
      </c>
      <c r="E2">
        <v>6.6029999999999998</v>
      </c>
      <c r="F2">
        <f>E2-B2</f>
        <v>2.306</v>
      </c>
      <c r="G2" s="2">
        <f>(F2/D2)*100</f>
        <v>6.6474488325165737</v>
      </c>
    </row>
    <row r="3" spans="1:9" x14ac:dyDescent="0.3">
      <c r="A3" t="s">
        <v>23</v>
      </c>
      <c r="B3">
        <v>4.3070000000000004</v>
      </c>
      <c r="C3">
        <v>47.526000000000003</v>
      </c>
      <c r="D3">
        <f t="shared" ref="D3:D4" si="0">C3-B3</f>
        <v>43.219000000000001</v>
      </c>
      <c r="E3" s="2">
        <v>7.2389999999999999</v>
      </c>
      <c r="F3">
        <f t="shared" ref="F3:F4" si="1">E3-B3</f>
        <v>2.9319999999999995</v>
      </c>
      <c r="G3" s="2">
        <f t="shared" ref="G3:G4" si="2">(F3/D3)*100</f>
        <v>6.7840533098868532</v>
      </c>
    </row>
    <row r="4" spans="1:9" x14ac:dyDescent="0.3">
      <c r="A4" t="s">
        <v>24</v>
      </c>
      <c r="B4">
        <v>4.2949999999999999</v>
      </c>
      <c r="C4" s="2">
        <v>64.37</v>
      </c>
      <c r="D4">
        <f t="shared" si="0"/>
        <v>60.075000000000003</v>
      </c>
      <c r="E4">
        <v>8.4489999999999998</v>
      </c>
      <c r="F4">
        <f t="shared" si="1"/>
        <v>4.1539999999999999</v>
      </c>
      <c r="G4" s="2">
        <f t="shared" si="2"/>
        <v>6.9146899708697456</v>
      </c>
      <c r="H4" s="3">
        <f>AVERAGE(G2:G4)</f>
        <v>6.7820640377577242</v>
      </c>
      <c r="I4" s="3">
        <f>_xlfn.STDEV.P(G2:G4)</f>
        <v>0.10910980527211286</v>
      </c>
    </row>
    <row r="5" spans="1:9" x14ac:dyDescent="0.3">
      <c r="G5" s="2"/>
    </row>
    <row r="6" spans="1:9" x14ac:dyDescent="0.3">
      <c r="E6" s="2"/>
      <c r="G6" s="2"/>
    </row>
    <row r="7" spans="1:9" x14ac:dyDescent="0.3">
      <c r="G7" s="2"/>
      <c r="H7" s="4"/>
      <c r="I7" s="2"/>
    </row>
    <row r="8" spans="1:9" x14ac:dyDescent="0.3">
      <c r="B8" s="2"/>
      <c r="G8" s="2"/>
    </row>
    <row r="9" spans="1:9" x14ac:dyDescent="0.3">
      <c r="G9" s="2"/>
    </row>
    <row r="10" spans="1:9" x14ac:dyDescent="0.3">
      <c r="G10" s="2"/>
      <c r="H10" s="4"/>
      <c r="I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TAN</vt:lpstr>
      <vt:lpstr>ApplicationRate</vt:lpstr>
      <vt:lpstr>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2026-05-25T14:03:16Z</dcterms:modified>
</cp:coreProperties>
</file>