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"/>
    </mc:Choice>
  </mc:AlternateContent>
  <xr:revisionPtr revIDLastSave="0" documentId="13_ncr:1_{F03D4934-CC45-4299-9F58-CFFDF5E7A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er content and packing" sheetId="1" r:id="rId1"/>
    <sheet name="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4" i="2"/>
  <c r="D7" i="2"/>
  <c r="D4" i="2"/>
  <c r="Q3" i="1"/>
  <c r="E11" i="1"/>
  <c r="E12" i="1"/>
  <c r="E13" i="1"/>
  <c r="G4" i="1"/>
  <c r="G3" i="1"/>
  <c r="G5" i="1"/>
  <c r="G6" i="1"/>
  <c r="G7" i="1"/>
  <c r="G8" i="1"/>
  <c r="G9" i="1"/>
  <c r="G10" i="1"/>
  <c r="G11" i="1"/>
  <c r="G12" i="1"/>
  <c r="H12" i="1" s="1"/>
  <c r="I12" i="1" s="1"/>
  <c r="G13" i="1"/>
  <c r="G2" i="1"/>
  <c r="E10" i="1"/>
  <c r="E9" i="1"/>
  <c r="E8" i="1"/>
  <c r="H13" i="1" l="1"/>
  <c r="I13" i="1" s="1"/>
  <c r="H11" i="1"/>
  <c r="I11" i="1" s="1"/>
  <c r="J11" i="1"/>
  <c r="K11" i="1"/>
  <c r="H8" i="1"/>
  <c r="I8" i="1" s="1"/>
  <c r="H10" i="1"/>
  <c r="I10" i="1" s="1"/>
  <c r="H9" i="1"/>
  <c r="I9" i="1" s="1"/>
  <c r="K8" i="1" s="1"/>
  <c r="E3" i="1"/>
  <c r="E4" i="1"/>
  <c r="E5" i="1"/>
  <c r="E6" i="1"/>
  <c r="E7" i="1"/>
  <c r="E2" i="1"/>
  <c r="H2" i="1" s="1"/>
  <c r="I2" i="1" s="1"/>
  <c r="J8" i="1" l="1"/>
  <c r="R3" i="1" s="1"/>
  <c r="S3" i="1" s="1"/>
  <c r="H6" i="1"/>
  <c r="I6" i="1" s="1"/>
  <c r="H7" i="1"/>
  <c r="I7" i="1" s="1"/>
  <c r="H4" i="1"/>
  <c r="I4" i="1" s="1"/>
  <c r="H3" i="1"/>
  <c r="I3" i="1" s="1"/>
  <c r="J2" i="1" s="1"/>
  <c r="H5" i="1"/>
  <c r="I5" i="1" s="1"/>
  <c r="J5" i="1" l="1"/>
  <c r="U3" i="1" s="1"/>
  <c r="V3" i="1" s="1"/>
  <c r="W3" i="1" s="1"/>
  <c r="K5" i="1"/>
  <c r="K2" i="1"/>
  <c r="T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tc={018B8F27-0C84-4F42-9237-B9A1D94C87A6}</author>
    <author>tc={E940895B-3B7B-47DE-B276-53D29FE111DB}</author>
    <author>tc={81EDEC15-0AE5-4CA5-8E19-99A9428A019D}</author>
    <author>tc={8E9C3241-44B9-4C8D-925F-4614B1B63702}</author>
    <author>tc={7EDAABD5-0736-4701-B21E-57452AB4E49E}</author>
  </authors>
  <commentList>
    <comment ref="A2" authorId="0" shapeId="0" xr:uid="{018B8F27-0C84-4F42-9237-B9A1D94C87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samples previusly used for pH meassurements, ie a disturbed top soil</t>
      </text>
    </comment>
    <comment ref="T4" authorId="1" shapeId="0" xr:uid="{E940895B-3B7B-47DE-B276-53D29FE111DB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has a systematic difference of approx -0.4 g (spill the day before)</t>
      </text>
    </comment>
    <comment ref="A5" authorId="2" shapeId="0" xr:uid="{81EDEC15-0AE5-4CA5-8E19-99A9428A019D}">
      <text>
        <t>[Threaded comment]
Your version of Excel allows you to read this threaded comment; however, any edits to it will get removed if the file is opened in a newer version of Excel. Learn more: https://go.microsoft.com/fwlink/?linkid=870924
Comment:
    Soi-samples undistrubed until test</t>
      </text>
    </comment>
    <comment ref="A8" authorId="3" shapeId="0" xr:uid="{8E9C3241-44B9-4C8D-925F-4614B1B63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Packaged soil, sieved on the day of the test</t>
      </text>
    </comment>
    <comment ref="A11" authorId="4" shapeId="0" xr:uid="{7EDAABD5-0736-4701-B21E-57452AB4E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Packed soil, sieved previously and left in storage. Date of sieving unknown</t>
      </text>
    </comment>
  </commentList>
</comments>
</file>

<file path=xl/sharedStrings.xml><?xml version="1.0" encoding="utf-8"?>
<sst xmlns="http://schemas.openxmlformats.org/spreadsheetml/2006/main" count="51" uniqueCount="48">
  <si>
    <t>ID</t>
  </si>
  <si>
    <t>m(alue) [g]</t>
  </si>
  <si>
    <t>m(wet)</t>
  </si>
  <si>
    <t>m(wet + alue)[g]</t>
  </si>
  <si>
    <t>m(dry) [g]</t>
  </si>
  <si>
    <t>m(dry + alue) [g]</t>
  </si>
  <si>
    <t>m(water) [g]</t>
  </si>
  <si>
    <t>water content [g_water / g_dry]</t>
  </si>
  <si>
    <t>Field soil</t>
  </si>
  <si>
    <t>High density pakced</t>
  </si>
  <si>
    <t>mean</t>
  </si>
  <si>
    <t>stdev</t>
  </si>
  <si>
    <t>Water content [gwater / gdry]</t>
  </si>
  <si>
    <t>Dry bulk density [g / cm3]</t>
  </si>
  <si>
    <t>V(sample) [cm3]</t>
  </si>
  <si>
    <t>Constants</t>
  </si>
  <si>
    <t>(0.18 + 0.07)</t>
  </si>
  <si>
    <t>dry soil needed [g]</t>
  </si>
  <si>
    <t>Water from soil [g]</t>
  </si>
  <si>
    <t>total mass [g]</t>
  </si>
  <si>
    <t>Per stamp [g]</t>
  </si>
  <si>
    <t>total mass per stamp [g]</t>
  </si>
  <si>
    <t>Excess to add [g]</t>
  </si>
  <si>
    <t>n(stamps)</t>
  </si>
  <si>
    <t>Date</t>
  </si>
  <si>
    <t>MZT2</t>
  </si>
  <si>
    <t>MZT1</t>
  </si>
  <si>
    <t>MZT3</t>
  </si>
  <si>
    <t>MZP1</t>
  </si>
  <si>
    <t>MZP2</t>
  </si>
  <si>
    <t>MZP3</t>
  </si>
  <si>
    <t>FpH1</t>
  </si>
  <si>
    <t>FpH2</t>
  </si>
  <si>
    <t>FpH3</t>
  </si>
  <si>
    <t>F1T</t>
  </si>
  <si>
    <t>F2T</t>
  </si>
  <si>
    <t>F3T</t>
  </si>
  <si>
    <t>Total water [g]</t>
  </si>
  <si>
    <t>msoil [g]</t>
  </si>
  <si>
    <t>F1</t>
  </si>
  <si>
    <t>F2</t>
  </si>
  <si>
    <t>F3</t>
  </si>
  <si>
    <t>pH</t>
  </si>
  <si>
    <t>MZ1</t>
  </si>
  <si>
    <t>MZ2</t>
  </si>
  <si>
    <t>MZ3</t>
  </si>
  <si>
    <r>
      <t xml:space="preserve">pH </t>
    </r>
    <r>
      <rPr>
        <b/>
        <sz val="11"/>
        <color theme="1"/>
        <rFont val="Calibri"/>
        <family val="2"/>
        <scheme val="minor"/>
      </rPr>
      <t>stdev</t>
    </r>
  </si>
  <si>
    <r>
      <t xml:space="preserve">pH </t>
    </r>
    <r>
      <rPr>
        <b/>
        <sz val="11"/>
        <color theme="1"/>
        <rFont val="Calibri"/>
        <family val="2"/>
        <scheme val="minor"/>
      </rPr>
      <t>mean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</si>
</sst>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0" xfId="0" applyFont="1"/>
    <xf numFmtId="2" fontId="0" fillId="3" borderId="0" xfId="0" applyNumberFormat="1" applyFill="1"/>
    <xf numFmtId="1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9E67358-F804-4B97-832D-8600B841E772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4-28T07:05:00.34" personId="{09E67358-F804-4B97-832D-8600B841E772}" id="{018B8F27-0C84-4F42-9237-B9A1D94C87A6}">
    <text>Field samples previusly used for pH meassurements, ie a disturbed top soil</text>
  </threadedComment>
  <threadedComment ref="T4" dT="2026-04-28T09:30:52.35" personId="{09E67358-F804-4B97-832D-8600B841E772}" id="{E940895B-3B7B-47DE-B276-53D29FE111DB}">
    <text>Weight has a systematic difference of approx -0.4 g (spill the day before)</text>
  </threadedComment>
  <threadedComment ref="A5" dT="2026-04-28T07:08:21.39" personId="{09E67358-F804-4B97-832D-8600B841E772}" id="{81EDEC15-0AE5-4CA5-8E19-99A9428A019D}">
    <text>Soi-samples undistrubed until test</text>
  </threadedComment>
  <threadedComment ref="A8" dT="2026-04-28T07:05:47.21" personId="{09E67358-F804-4B97-832D-8600B841E772}" id="{8E9C3241-44B9-4C8D-925F-4614B1B63702}">
    <text>Packaged soil, sieved on the day of the test</text>
  </threadedComment>
  <threadedComment ref="A11" dT="2026-04-28T07:06:46.70" personId="{09E67358-F804-4B97-832D-8600B841E772}" id="{7EDAABD5-0736-4701-B21E-57452AB4E49E}">
    <text>Packed soil, sieved previously and left in storage. Date of sieving unknown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N1" workbookViewId="0">
      <selection activeCell="Q10" sqref="Q10"/>
    </sheetView>
  </sheetViews>
  <sheetFormatPr defaultRowHeight="14.4" x14ac:dyDescent="0.3"/>
  <cols>
    <col min="2" max="2" width="14.109375" style="1" bestFit="1" customWidth="1"/>
    <col min="3" max="3" width="15.44140625" bestFit="1" customWidth="1"/>
    <col min="4" max="4" width="10.5546875" bestFit="1" customWidth="1"/>
    <col min="5" max="5" width="9" customWidth="1"/>
    <col min="6" max="6" width="15.5546875" customWidth="1"/>
    <col min="7" max="7" width="9.88671875" customWidth="1"/>
    <col min="8" max="8" width="12.21875" customWidth="1"/>
    <col min="9" max="9" width="29" customWidth="1"/>
    <col min="10" max="10" width="8.6640625" customWidth="1"/>
    <col min="11" max="11" width="8.88671875" customWidth="1"/>
    <col min="12" max="12" width="27.5546875" bestFit="1" customWidth="1"/>
    <col min="13" max="13" width="21.44140625" bestFit="1" customWidth="1"/>
    <col min="14" max="14" width="27.5546875" bestFit="1" customWidth="1"/>
    <col min="15" max="16" width="25.88671875" bestFit="1" customWidth="1"/>
    <col min="17" max="17" width="17.33203125" bestFit="1" customWidth="1"/>
    <col min="18" max="18" width="12.44140625" bestFit="1" customWidth="1"/>
    <col min="19" max="19" width="21.88671875" customWidth="1"/>
    <col min="20" max="20" width="13.5546875" bestFit="1" customWidth="1"/>
    <col min="21" max="21" width="15.21875" customWidth="1"/>
    <col min="22" max="22" width="11.77734375" bestFit="1" customWidth="1"/>
    <col min="23" max="24" width="14.33203125" bestFit="1" customWidth="1"/>
  </cols>
  <sheetData>
    <row r="1" spans="1:26" x14ac:dyDescent="0.3">
      <c r="A1" t="s">
        <v>0</v>
      </c>
      <c r="B1" s="1" t="s">
        <v>24</v>
      </c>
      <c r="C1" s="1" t="s">
        <v>3</v>
      </c>
      <c r="D1" t="s">
        <v>1</v>
      </c>
      <c r="E1" t="s">
        <v>2</v>
      </c>
      <c r="F1" t="s">
        <v>5</v>
      </c>
      <c r="G1" t="s">
        <v>4</v>
      </c>
      <c r="H1" t="s">
        <v>6</v>
      </c>
      <c r="I1" t="s">
        <v>7</v>
      </c>
      <c r="J1" t="s">
        <v>10</v>
      </c>
      <c r="K1" t="s">
        <v>11</v>
      </c>
      <c r="M1" t="s">
        <v>0</v>
      </c>
      <c r="N1" t="s">
        <v>24</v>
      </c>
      <c r="O1" t="s">
        <v>13</v>
      </c>
      <c r="P1" t="s">
        <v>12</v>
      </c>
      <c r="Q1" t="s">
        <v>17</v>
      </c>
      <c r="R1" t="s">
        <v>18</v>
      </c>
      <c r="S1" t="s">
        <v>19</v>
      </c>
      <c r="T1" t="s">
        <v>21</v>
      </c>
      <c r="U1" t="s">
        <v>37</v>
      </c>
      <c r="V1" t="s">
        <v>22</v>
      </c>
      <c r="W1" t="s">
        <v>20</v>
      </c>
      <c r="Y1" s="4" t="s">
        <v>15</v>
      </c>
    </row>
    <row r="2" spans="1:26" x14ac:dyDescent="0.3">
      <c r="A2" t="s">
        <v>31</v>
      </c>
      <c r="B2" s="6">
        <v>46139</v>
      </c>
      <c r="C2" s="1">
        <v>108.66800000000001</v>
      </c>
      <c r="D2">
        <v>3.7469999999999999</v>
      </c>
      <c r="E2" s="1">
        <f>C2-D2</f>
        <v>104.92100000000001</v>
      </c>
      <c r="F2">
        <v>89.548500000000004</v>
      </c>
      <c r="G2">
        <f>F2-D2</f>
        <v>85.801500000000004</v>
      </c>
      <c r="H2" s="1">
        <f>E2-G2</f>
        <v>19.119500000000002</v>
      </c>
      <c r="I2" s="2">
        <f>H2/G2</f>
        <v>0.22283409963695275</v>
      </c>
      <c r="J2" s="2">
        <f>AVERAGE(I2:I4)</f>
        <v>0.22085935772238816</v>
      </c>
      <c r="K2" s="2">
        <f>_xlfn.STDEV.P(I2:I4)</f>
        <v>8.0287424087886854E-3</v>
      </c>
      <c r="M2" t="s">
        <v>8</v>
      </c>
      <c r="N2" s="6">
        <v>46140</v>
      </c>
      <c r="O2" s="2">
        <v>1.5</v>
      </c>
      <c r="P2" s="2">
        <v>0.25</v>
      </c>
      <c r="Q2" s="3"/>
      <c r="R2" s="3"/>
      <c r="S2" s="3"/>
      <c r="T2" s="3"/>
      <c r="U2" s="3"/>
      <c r="V2" s="3"/>
      <c r="W2" s="3"/>
      <c r="Y2" t="s">
        <v>14</v>
      </c>
      <c r="Z2">
        <v>100</v>
      </c>
    </row>
    <row r="3" spans="1:26" x14ac:dyDescent="0.3">
      <c r="A3" t="s">
        <v>32</v>
      </c>
      <c r="B3" s="6">
        <v>46139</v>
      </c>
      <c r="C3" s="1">
        <v>81.38</v>
      </c>
      <c r="D3" s="1">
        <v>4.26</v>
      </c>
      <c r="E3" s="1">
        <f t="shared" ref="E3:E13" si="0">C3-D3</f>
        <v>77.11999999999999</v>
      </c>
      <c r="F3" s="1">
        <v>67.985600000000005</v>
      </c>
      <c r="G3">
        <f t="shared" ref="G3:G13" si="1">F3-D3</f>
        <v>63.725600000000007</v>
      </c>
      <c r="H3" s="1">
        <f t="shared" ref="H3:H13" si="2">E3-G3</f>
        <v>13.394399999999983</v>
      </c>
      <c r="I3" s="2">
        <f t="shared" ref="I3:I13" si="3">H3/G3</f>
        <v>0.21018868398257501</v>
      </c>
      <c r="M3" t="s">
        <v>9</v>
      </c>
      <c r="N3" s="6">
        <v>46140</v>
      </c>
      <c r="O3" s="2">
        <v>1.5</v>
      </c>
      <c r="P3" s="2" t="s">
        <v>16</v>
      </c>
      <c r="Q3" s="2">
        <f>O3*Z2</f>
        <v>150</v>
      </c>
      <c r="R3" s="1">
        <f>Q3*J8</f>
        <v>27.662475891904336</v>
      </c>
      <c r="S3" s="2">
        <f>Q3+R3</f>
        <v>177.66247589190434</v>
      </c>
      <c r="T3" s="7">
        <f>S3/4</f>
        <v>44.415618972976084</v>
      </c>
      <c r="U3" s="1">
        <f>Q3*J5</f>
        <v>37.931302122939833</v>
      </c>
      <c r="V3" s="2">
        <f>U3-R3</f>
        <v>10.268826231035497</v>
      </c>
      <c r="W3" s="7">
        <f>V3/Z3</f>
        <v>2.5672065577588743</v>
      </c>
      <c r="Y3" t="s">
        <v>23</v>
      </c>
      <c r="Z3">
        <v>4</v>
      </c>
    </row>
    <row r="4" spans="1:26" x14ac:dyDescent="0.3">
      <c r="A4" t="s">
        <v>33</v>
      </c>
      <c r="B4" s="6">
        <v>46139</v>
      </c>
      <c r="C4" s="1">
        <v>114.486</v>
      </c>
      <c r="D4">
        <v>4.2709999999999999</v>
      </c>
      <c r="E4" s="1">
        <f t="shared" si="0"/>
        <v>110.215</v>
      </c>
      <c r="F4">
        <v>93.909099999999995</v>
      </c>
      <c r="G4">
        <f>F4-D4</f>
        <v>89.638099999999994</v>
      </c>
      <c r="H4" s="1">
        <f t="shared" si="2"/>
        <v>20.576900000000009</v>
      </c>
      <c r="I4" s="2">
        <f t="shared" si="3"/>
        <v>0.22955528954763665</v>
      </c>
      <c r="O4" s="2"/>
      <c r="Q4" s="2"/>
      <c r="R4" s="2"/>
      <c r="S4" s="2"/>
      <c r="T4" s="5">
        <v>44</v>
      </c>
      <c r="U4" s="2"/>
      <c r="V4" s="2"/>
      <c r="W4" s="2"/>
    </row>
    <row r="5" spans="1:26" x14ac:dyDescent="0.3">
      <c r="A5" t="s">
        <v>34</v>
      </c>
      <c r="B5" s="6">
        <v>46139</v>
      </c>
      <c r="C5" s="1">
        <v>62.832999999999998</v>
      </c>
      <c r="D5" s="1">
        <v>3.75</v>
      </c>
      <c r="E5" s="1">
        <f t="shared" si="0"/>
        <v>59.082999999999998</v>
      </c>
      <c r="F5" s="1">
        <v>51.0901</v>
      </c>
      <c r="G5">
        <f t="shared" si="1"/>
        <v>47.3401</v>
      </c>
      <c r="H5" s="1">
        <f t="shared" si="2"/>
        <v>11.742899999999999</v>
      </c>
      <c r="I5" s="2">
        <f t="shared" si="3"/>
        <v>0.24805397538239249</v>
      </c>
      <c r="J5" s="2">
        <f>AVERAGE(I5:I7)</f>
        <v>0.25287534748626556</v>
      </c>
      <c r="K5" s="2">
        <f>_xlfn.STDEV.P(I5:I7)</f>
        <v>4.1323696256871517E-3</v>
      </c>
    </row>
    <row r="6" spans="1:26" x14ac:dyDescent="0.3">
      <c r="A6" t="s">
        <v>35</v>
      </c>
      <c r="B6" s="6">
        <v>46139</v>
      </c>
      <c r="C6" s="1">
        <v>51.804000000000002</v>
      </c>
      <c r="D6">
        <v>3.7519999999999998</v>
      </c>
      <c r="E6" s="1">
        <f t="shared" si="0"/>
        <v>48.052</v>
      </c>
      <c r="F6">
        <v>41.944699999999997</v>
      </c>
      <c r="G6">
        <f t="shared" si="1"/>
        <v>38.192699999999995</v>
      </c>
      <c r="H6" s="1">
        <f t="shared" si="2"/>
        <v>9.8593000000000046</v>
      </c>
      <c r="I6" s="2">
        <f t="shared" si="3"/>
        <v>0.25814619024054353</v>
      </c>
    </row>
    <row r="7" spans="1:26" x14ac:dyDescent="0.3">
      <c r="A7" t="s">
        <v>36</v>
      </c>
      <c r="B7" s="6">
        <v>46139</v>
      </c>
      <c r="C7" s="1">
        <v>44.667000000000002</v>
      </c>
      <c r="D7" s="1">
        <v>3.7519999999999998</v>
      </c>
      <c r="E7" s="1">
        <f t="shared" si="0"/>
        <v>40.914999999999999</v>
      </c>
      <c r="F7" s="1">
        <v>36.4206</v>
      </c>
      <c r="G7">
        <f t="shared" si="1"/>
        <v>32.668599999999998</v>
      </c>
      <c r="H7" s="1">
        <f t="shared" si="2"/>
        <v>8.2464000000000013</v>
      </c>
      <c r="I7" s="2">
        <f t="shared" si="3"/>
        <v>0.25242587683586076</v>
      </c>
    </row>
    <row r="8" spans="1:26" x14ac:dyDescent="0.3">
      <c r="A8" t="s">
        <v>26</v>
      </c>
      <c r="B8" s="6">
        <v>46139</v>
      </c>
      <c r="C8" s="1">
        <v>82.506</v>
      </c>
      <c r="D8">
        <v>3.7629999999999999</v>
      </c>
      <c r="E8" s="1">
        <f t="shared" si="0"/>
        <v>78.742999999999995</v>
      </c>
      <c r="F8">
        <v>70.197400000000002</v>
      </c>
      <c r="G8">
        <f t="shared" si="1"/>
        <v>66.434399999999997</v>
      </c>
      <c r="H8" s="1">
        <f t="shared" si="2"/>
        <v>12.308599999999998</v>
      </c>
      <c r="I8" s="2">
        <f t="shared" si="3"/>
        <v>0.18527449634526691</v>
      </c>
      <c r="J8" s="2">
        <f>AVERAGE(I8:I10)</f>
        <v>0.1844165059460289</v>
      </c>
      <c r="K8" s="2">
        <f>_xlfn.STDEV.P(I8:I10)</f>
        <v>1.1912851319148879E-3</v>
      </c>
    </row>
    <row r="9" spans="1:26" x14ac:dyDescent="0.3">
      <c r="A9" t="s">
        <v>25</v>
      </c>
      <c r="B9" s="6">
        <v>46139</v>
      </c>
      <c r="C9" s="1">
        <v>102.955</v>
      </c>
      <c r="D9" s="1">
        <v>3.746</v>
      </c>
      <c r="E9" s="1">
        <f t="shared" si="0"/>
        <v>99.209000000000003</v>
      </c>
      <c r="F9" s="1">
        <v>87.4495</v>
      </c>
      <c r="G9">
        <f t="shared" si="1"/>
        <v>83.703500000000005</v>
      </c>
      <c r="H9" s="1">
        <f t="shared" si="2"/>
        <v>15.505499999999998</v>
      </c>
      <c r="I9" s="2">
        <f t="shared" si="3"/>
        <v>0.18524314992801971</v>
      </c>
    </row>
    <row r="10" spans="1:26" x14ac:dyDescent="0.3">
      <c r="A10" t="s">
        <v>27</v>
      </c>
      <c r="B10" s="6">
        <v>46139</v>
      </c>
      <c r="C10" s="1">
        <v>120.505</v>
      </c>
      <c r="D10" s="1">
        <v>3.7450000000000001</v>
      </c>
      <c r="E10" s="1">
        <f t="shared" si="0"/>
        <v>116.75999999999999</v>
      </c>
      <c r="F10" s="1">
        <v>102.46559999999999</v>
      </c>
      <c r="G10">
        <f t="shared" si="1"/>
        <v>98.72059999999999</v>
      </c>
      <c r="H10" s="1">
        <f t="shared" si="2"/>
        <v>18.039400000000001</v>
      </c>
      <c r="I10" s="2">
        <f t="shared" si="3"/>
        <v>0.18273187156480009</v>
      </c>
    </row>
    <row r="11" spans="1:26" x14ac:dyDescent="0.3">
      <c r="A11" t="s">
        <v>28</v>
      </c>
      <c r="B11" s="6">
        <v>46139</v>
      </c>
      <c r="C11" s="1">
        <v>43.093000000000004</v>
      </c>
      <c r="D11" s="1">
        <v>3.7679999999999998</v>
      </c>
      <c r="E11" s="1">
        <f t="shared" si="0"/>
        <v>39.325000000000003</v>
      </c>
      <c r="F11" s="1">
        <v>37.242600000000003</v>
      </c>
      <c r="G11">
        <f t="shared" si="1"/>
        <v>33.474600000000002</v>
      </c>
      <c r="H11" s="1">
        <f t="shared" si="2"/>
        <v>5.8504000000000005</v>
      </c>
      <c r="I11" s="2">
        <f t="shared" si="3"/>
        <v>0.17477131914944466</v>
      </c>
      <c r="J11" s="2">
        <f>AVERAGE(I11:I13)</f>
        <v>0.17007138695415447</v>
      </c>
      <c r="K11" s="2">
        <f>_xlfn.STDEV.P(I11:I13)</f>
        <v>4.4865014815977265E-3</v>
      </c>
    </row>
    <row r="12" spans="1:26" x14ac:dyDescent="0.3">
      <c r="A12" t="s">
        <v>29</v>
      </c>
      <c r="B12" s="6">
        <v>46139</v>
      </c>
      <c r="C12" s="1">
        <v>43.973999999999997</v>
      </c>
      <c r="D12" s="1">
        <v>3.7429999999999999</v>
      </c>
      <c r="E12" s="1">
        <f t="shared" si="0"/>
        <v>40.230999999999995</v>
      </c>
      <c r="F12" s="1">
        <v>38.087000000000003</v>
      </c>
      <c r="G12">
        <f t="shared" si="1"/>
        <v>34.344000000000001</v>
      </c>
      <c r="H12" s="1">
        <f t="shared" si="2"/>
        <v>5.8869999999999933</v>
      </c>
      <c r="I12" s="2">
        <f t="shared" si="3"/>
        <v>0.17141276496622387</v>
      </c>
    </row>
    <row r="13" spans="1:26" x14ac:dyDescent="0.3">
      <c r="A13" t="s">
        <v>30</v>
      </c>
      <c r="B13" s="6">
        <v>46139</v>
      </c>
      <c r="C13" s="1">
        <v>66.634</v>
      </c>
      <c r="D13" s="1">
        <v>3.7509999999999999</v>
      </c>
      <c r="E13" s="1">
        <f t="shared" si="0"/>
        <v>62.883000000000003</v>
      </c>
      <c r="F13" s="1">
        <v>57.772799999999997</v>
      </c>
      <c r="G13">
        <f t="shared" si="1"/>
        <v>54.021799999999999</v>
      </c>
      <c r="H13" s="1">
        <f t="shared" si="2"/>
        <v>8.8612000000000037</v>
      </c>
      <c r="I13" s="2">
        <f t="shared" si="3"/>
        <v>0.16403007674679487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5F4F-DCC6-4A2E-A2E7-408EDDB1C5F8}">
  <dimension ref="A1:E7"/>
  <sheetViews>
    <sheetView workbookViewId="0">
      <selection activeCell="E4" sqref="E4"/>
    </sheetView>
  </sheetViews>
  <sheetFormatPr defaultRowHeight="14.4" x14ac:dyDescent="0.3"/>
  <sheetData>
    <row r="1" spans="1:5" x14ac:dyDescent="0.3">
      <c r="A1" s="4" t="s">
        <v>0</v>
      </c>
      <c r="B1" t="s">
        <v>38</v>
      </c>
      <c r="C1" t="s">
        <v>42</v>
      </c>
      <c r="D1" t="s">
        <v>47</v>
      </c>
      <c r="E1" t="s">
        <v>46</v>
      </c>
    </row>
    <row r="2" spans="1:5" x14ac:dyDescent="0.3">
      <c r="A2" t="s">
        <v>39</v>
      </c>
      <c r="B2" s="1">
        <v>20</v>
      </c>
      <c r="C2">
        <v>5.48</v>
      </c>
    </row>
    <row r="3" spans="1:5" x14ac:dyDescent="0.3">
      <c r="A3" t="s">
        <v>40</v>
      </c>
      <c r="B3">
        <v>20.079000000000001</v>
      </c>
      <c r="C3">
        <v>5.14</v>
      </c>
    </row>
    <row r="4" spans="1:5" x14ac:dyDescent="0.3">
      <c r="A4" t="s">
        <v>41</v>
      </c>
      <c r="B4" s="1">
        <v>20.079999999999998</v>
      </c>
      <c r="C4">
        <v>5.37</v>
      </c>
      <c r="D4" s="2">
        <f>AVERAGE(C2:C4)</f>
        <v>5.330000000000001</v>
      </c>
      <c r="E4" s="2">
        <f>_xlfn.STDEV.P(C2:C4)</f>
        <v>0.14165686240583883</v>
      </c>
    </row>
    <row r="5" spans="1:5" x14ac:dyDescent="0.3">
      <c r="A5" t="s">
        <v>43</v>
      </c>
      <c r="B5">
        <v>20.015000000000001</v>
      </c>
      <c r="C5">
        <v>5.66</v>
      </c>
    </row>
    <row r="6" spans="1:5" x14ac:dyDescent="0.3">
      <c r="A6" t="s">
        <v>44</v>
      </c>
      <c r="B6" s="1">
        <v>20</v>
      </c>
      <c r="C6">
        <v>5.53</v>
      </c>
    </row>
    <row r="7" spans="1:5" x14ac:dyDescent="0.3">
      <c r="A7" t="s">
        <v>45</v>
      </c>
      <c r="B7">
        <v>20.032</v>
      </c>
      <c r="C7" s="2">
        <v>5.6</v>
      </c>
      <c r="D7" s="2">
        <f>AVERAGE(C5:C7)</f>
        <v>5.5966666666666667</v>
      </c>
      <c r="E7" s="2">
        <f>_xlfn.STDEV.P(C5:C7)</f>
        <v>5.3124591501697377E-2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content and packing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2026-05-16T11:39:34Z</dcterms:modified>
</cp:coreProperties>
</file>