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1-06-cattle-slurry\"/>
    </mc:Choice>
  </mc:AlternateContent>
  <xr:revisionPtr revIDLastSave="0" documentId="13_ncr:1_{799BE4A7-7988-43F5-B094-49B235358EED}" xr6:coauthVersionLast="47" xr6:coauthVersionMax="47" xr10:uidLastSave="{00000000-0000-0000-0000-000000000000}"/>
  <bookViews>
    <workbookView xWindow="0" yWindow="360" windowWidth="23256" windowHeight="12456" activeTab="1" xr2:uid="{00000000-000D-0000-FFFF-FFFF00000000}"/>
  </bookViews>
  <sheets>
    <sheet name="pH" sheetId="1" r:id="rId1"/>
    <sheet name="water-cont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12" i="2"/>
  <c r="I6" i="2"/>
  <c r="I5" i="2"/>
  <c r="I2" i="2"/>
  <c r="H3" i="2"/>
  <c r="I3" i="2" s="1"/>
  <c r="H4" i="2"/>
  <c r="I4" i="2" s="1"/>
  <c r="H9" i="2"/>
  <c r="I9" i="2" s="1"/>
  <c r="H10" i="2"/>
  <c r="I10" i="2" s="1"/>
  <c r="H11" i="2"/>
  <c r="I11" i="2" s="1"/>
  <c r="H2" i="2"/>
  <c r="G3" i="2"/>
  <c r="G4" i="2"/>
  <c r="G9" i="2"/>
  <c r="G10" i="2"/>
  <c r="G11" i="2"/>
  <c r="G2" i="2"/>
  <c r="C7" i="1"/>
  <c r="C6" i="1"/>
</calcChain>
</file>

<file path=xl/sharedStrings.xml><?xml version="1.0" encoding="utf-8"?>
<sst xmlns="http://schemas.openxmlformats.org/spreadsheetml/2006/main" count="28" uniqueCount="25">
  <si>
    <t>Description</t>
  </si>
  <si>
    <t>pH</t>
  </si>
  <si>
    <t>avg</t>
  </si>
  <si>
    <t>std-dev</t>
  </si>
  <si>
    <t>20.493 g soil</t>
  </si>
  <si>
    <t>T = 27 deg c</t>
  </si>
  <si>
    <t>1 sample from field</t>
  </si>
  <si>
    <t>3 measurents on the same  sample</t>
  </si>
  <si>
    <t xml:space="preserve">field and soil </t>
  </si>
  <si>
    <t>each as triplicates</t>
  </si>
  <si>
    <t>ID</t>
  </si>
  <si>
    <t>m alue</t>
  </si>
  <si>
    <t>m alue + dry [g]</t>
  </si>
  <si>
    <t>Field a</t>
  </si>
  <si>
    <t>Field b</t>
  </si>
  <si>
    <t>Field c</t>
  </si>
  <si>
    <t>MZ 1</t>
  </si>
  <si>
    <t>MZ 2</t>
  </si>
  <si>
    <t>MZ 3</t>
  </si>
  <si>
    <t>m dry [g]</t>
  </si>
  <si>
    <t>m water [g]</t>
  </si>
  <si>
    <t>m alue+ wet soil</t>
  </si>
  <si>
    <t>gravimetric water content [g(water) / g(soil]</t>
  </si>
  <si>
    <t>stddev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</si>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</sst>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7" sqref="A7"/>
    </sheetView>
  </sheetViews>
  <sheetFormatPr defaultRowHeight="14.4" x14ac:dyDescent="0.3"/>
  <cols>
    <col min="1" max="1" width="31.21875" bestFit="1" customWidth="1"/>
  </cols>
  <sheetData>
    <row r="1" spans="1:3" x14ac:dyDescent="0.3">
      <c r="A1" s="1" t="s">
        <v>0</v>
      </c>
      <c r="C1" t="s">
        <v>1</v>
      </c>
    </row>
    <row r="2" spans="1:3" x14ac:dyDescent="0.3">
      <c r="A2" t="s">
        <v>6</v>
      </c>
      <c r="C2">
        <v>5.99</v>
      </c>
    </row>
    <row r="3" spans="1:3" x14ac:dyDescent="0.3">
      <c r="A3" t="s">
        <v>4</v>
      </c>
      <c r="C3">
        <v>6.01</v>
      </c>
    </row>
    <row r="4" spans="1:3" x14ac:dyDescent="0.3">
      <c r="A4" t="s">
        <v>5</v>
      </c>
      <c r="C4">
        <v>6.02</v>
      </c>
    </row>
    <row r="5" spans="1:3" x14ac:dyDescent="0.3">
      <c r="A5" t="s">
        <v>7</v>
      </c>
    </row>
    <row r="6" spans="1:3" x14ac:dyDescent="0.3">
      <c r="B6" t="s">
        <v>2</v>
      </c>
      <c r="C6" s="3">
        <f>AVERAGE(C2:C4)</f>
        <v>6.0066666666666668</v>
      </c>
    </row>
    <row r="7" spans="1:3" x14ac:dyDescent="0.3">
      <c r="B7" t="s">
        <v>3</v>
      </c>
      <c r="C7" s="3">
        <f>_xlfn.STDEV.P(C2:C4)</f>
        <v>1.2472191289246206E-2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24FE-FEE3-4E64-AF93-D2D362EC8B69}">
  <dimension ref="A1:J13"/>
  <sheetViews>
    <sheetView tabSelected="1" workbookViewId="0">
      <selection activeCell="L4" sqref="L4"/>
    </sheetView>
  </sheetViews>
  <sheetFormatPr defaultRowHeight="14.4" x14ac:dyDescent="0.3"/>
  <cols>
    <col min="1" max="1" width="16.33203125" bestFit="1" customWidth="1"/>
    <col min="5" max="5" width="15.109375" bestFit="1" customWidth="1"/>
    <col min="6" max="6" width="14.33203125" bestFit="1" customWidth="1"/>
    <col min="8" max="8" width="10.77734375" bestFit="1" customWidth="1"/>
    <col min="9" max="9" width="22.21875" customWidth="1"/>
  </cols>
  <sheetData>
    <row r="1" spans="1:10" ht="72" x14ac:dyDescent="0.3">
      <c r="A1" t="s">
        <v>0</v>
      </c>
      <c r="C1" t="s">
        <v>10</v>
      </c>
      <c r="D1" t="s">
        <v>11</v>
      </c>
      <c r="E1" t="s">
        <v>21</v>
      </c>
      <c r="F1" t="s">
        <v>12</v>
      </c>
      <c r="G1" t="s">
        <v>19</v>
      </c>
      <c r="H1" t="s">
        <v>20</v>
      </c>
      <c r="I1" s="4" t="s">
        <v>22</v>
      </c>
    </row>
    <row r="2" spans="1:10" x14ac:dyDescent="0.3">
      <c r="A2" t="s">
        <v>8</v>
      </c>
      <c r="C2" t="s">
        <v>13</v>
      </c>
      <c r="D2">
        <v>4.26</v>
      </c>
      <c r="E2">
        <v>147.244</v>
      </c>
      <c r="F2">
        <v>119.77200000000001</v>
      </c>
      <c r="G2">
        <f>F2-D2</f>
        <v>115.512</v>
      </c>
      <c r="H2">
        <f>E2-F2</f>
        <v>27.471999999999994</v>
      </c>
      <c r="I2" s="3">
        <f>H2/G2</f>
        <v>0.23782810443936556</v>
      </c>
    </row>
    <row r="3" spans="1:10" x14ac:dyDescent="0.3">
      <c r="A3" t="s">
        <v>9</v>
      </c>
      <c r="C3" t="s">
        <v>14</v>
      </c>
      <c r="D3">
        <v>4.2619999999999996</v>
      </c>
      <c r="E3">
        <v>119.73099999999999</v>
      </c>
      <c r="F3" s="2">
        <v>97.88</v>
      </c>
      <c r="G3">
        <f t="shared" ref="G3:G4" si="0">F3-D3</f>
        <v>93.617999999999995</v>
      </c>
      <c r="H3">
        <f t="shared" ref="H3:H4" si="1">E3-F3</f>
        <v>21.850999999999999</v>
      </c>
      <c r="I3" s="3">
        <f t="shared" ref="I3:I4" si="2">H3/G3</f>
        <v>0.23340596893759746</v>
      </c>
    </row>
    <row r="4" spans="1:10" x14ac:dyDescent="0.3">
      <c r="C4" t="s">
        <v>15</v>
      </c>
      <c r="D4" s="2">
        <v>4.28</v>
      </c>
      <c r="E4">
        <v>159.02600000000001</v>
      </c>
      <c r="F4">
        <v>131.12450000000001</v>
      </c>
      <c r="G4">
        <f t="shared" si="0"/>
        <v>126.84450000000001</v>
      </c>
      <c r="H4">
        <f t="shared" si="1"/>
        <v>27.901499999999999</v>
      </c>
      <c r="I4" s="3">
        <f t="shared" si="2"/>
        <v>0.21996617906176458</v>
      </c>
    </row>
    <row r="5" spans="1:10" x14ac:dyDescent="0.3">
      <c r="I5" s="3">
        <f>AVERAGE(I2:I4)</f>
        <v>0.2304000841462425</v>
      </c>
      <c r="J5" t="s">
        <v>2</v>
      </c>
    </row>
    <row r="6" spans="1:10" x14ac:dyDescent="0.3">
      <c r="I6" s="2">
        <f>_xlfn.STDEV.P(I2:I4)</f>
        <v>7.5955514209709455E-3</v>
      </c>
      <c r="J6" t="s">
        <v>23</v>
      </c>
    </row>
    <row r="9" spans="1:10" x14ac:dyDescent="0.3">
      <c r="C9" t="s">
        <v>16</v>
      </c>
      <c r="D9" s="2">
        <v>4.2699999999999996</v>
      </c>
      <c r="E9">
        <v>72.462999999999994</v>
      </c>
      <c r="F9">
        <v>61.975999999999999</v>
      </c>
      <c r="G9">
        <f>F9-D9</f>
        <v>57.706000000000003</v>
      </c>
      <c r="H9">
        <f>E9-F9</f>
        <v>10.486999999999995</v>
      </c>
      <c r="I9" s="3">
        <f>H9/G9</f>
        <v>0.18173153571552342</v>
      </c>
    </row>
    <row r="10" spans="1:10" x14ac:dyDescent="0.3">
      <c r="C10" t="s">
        <v>17</v>
      </c>
      <c r="D10">
        <v>4.2729999999999997</v>
      </c>
      <c r="E10">
        <v>64.980999999999995</v>
      </c>
      <c r="F10">
        <v>55.631999999999998</v>
      </c>
      <c r="G10">
        <f>F10-D10</f>
        <v>51.358999999999995</v>
      </c>
      <c r="H10">
        <f>E10-F10</f>
        <v>9.3489999999999966</v>
      </c>
      <c r="I10" s="3">
        <f>H10/G10</f>
        <v>0.18203236044315499</v>
      </c>
    </row>
    <row r="11" spans="1:10" x14ac:dyDescent="0.3">
      <c r="C11" t="s">
        <v>18</v>
      </c>
      <c r="D11">
        <v>4.2729999999999997</v>
      </c>
      <c r="E11">
        <v>56.356000000000002</v>
      </c>
      <c r="F11">
        <v>48.308</v>
      </c>
      <c r="G11">
        <f>F11-D11</f>
        <v>44.034999999999997</v>
      </c>
      <c r="H11">
        <f>E11-F11</f>
        <v>8.0480000000000018</v>
      </c>
      <c r="I11" s="3">
        <f>H11/G11</f>
        <v>0.1827637106846827</v>
      </c>
    </row>
    <row r="12" spans="1:10" x14ac:dyDescent="0.3">
      <c r="I12" s="3">
        <f>AVERAGE(I9:I11)</f>
        <v>0.18217586894778703</v>
      </c>
      <c r="J12" t="s">
        <v>2</v>
      </c>
    </row>
    <row r="13" spans="1:10" x14ac:dyDescent="0.3">
      <c r="I13" s="3">
        <f>_xlfn.STDEV.P(I9:I11)</f>
        <v>4.3342997121106203E-4</v>
      </c>
      <c r="J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</vt:lpstr>
      <vt:lpstr>water-content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2026-01-30T13:13:09Z</dcterms:modified>
</cp:coreProperties>
</file>