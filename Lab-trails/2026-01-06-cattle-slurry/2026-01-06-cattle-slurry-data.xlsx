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B441A5EE-E6C5-4C82-9A0E-6E7D6BDCE8B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2" l="1"/>
  <c r="I12" i="2"/>
  <c r="H2" i="2"/>
  <c r="H4" i="2"/>
  <c r="I4" i="2"/>
  <c r="J10" i="2"/>
  <c r="J7" i="2"/>
  <c r="J4" i="2"/>
  <c r="I10" i="2"/>
  <c r="I7" i="2"/>
  <c r="I2" i="3"/>
  <c r="H3" i="2"/>
  <c r="H5" i="2"/>
  <c r="H6" i="2"/>
  <c r="H7" i="2"/>
  <c r="H8" i="2"/>
  <c r="H9" i="2"/>
  <c r="H10" i="2"/>
  <c r="H11" i="2"/>
  <c r="K2" i="3" l="1"/>
  <c r="H2" i="3"/>
  <c r="L3" i="3"/>
  <c r="L4" i="3"/>
  <c r="L5" i="3"/>
  <c r="L6" i="3"/>
  <c r="L7" i="3"/>
  <c r="L8" i="3"/>
  <c r="L9" i="3"/>
  <c r="L10" i="3"/>
  <c r="L2" i="3"/>
  <c r="K3" i="3"/>
  <c r="K4" i="3"/>
  <c r="K5" i="3"/>
  <c r="K6" i="3"/>
  <c r="K7" i="3"/>
  <c r="K8" i="3"/>
  <c r="K9" i="3"/>
  <c r="K10" i="3"/>
  <c r="I3" i="3"/>
  <c r="I4" i="3"/>
  <c r="I5" i="3"/>
  <c r="I6" i="3"/>
  <c r="I7" i="3"/>
  <c r="I8" i="3"/>
  <c r="I9" i="3"/>
  <c r="I10" i="3"/>
  <c r="H3" i="3"/>
  <c r="H4" i="3"/>
  <c r="H5" i="3"/>
  <c r="H6" i="3"/>
  <c r="H7" i="3"/>
  <c r="H8" i="3"/>
  <c r="H9" i="3"/>
  <c r="H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<sst xmlns="http://schemas.openxmlformats.org/spreadsheetml/2006/main" count="59" uniqueCount="46">
  <si>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</si>
  <si>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</si>
  <si>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</si>
  <si>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</si>
  <si>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</si>
  <si>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</si>
  <si>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</si>
  <si>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</si>
  <si>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</si>
  <si>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</si>
  <si>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</si>
  <si>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</si>
  <si>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</si>
  <si>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</si>
  <si>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</si>
  <si>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</si>
  <si>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</si>
  <si>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</si>
  <si>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</si>
  <si>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</si>
  <si>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</si>
  <si>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</si>
  <si>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</si>
  <si>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</si>
  <si>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</si>
  <si>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</si>
  <si>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</si>
  <si>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</si>
  <si>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</si>
  <si>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</si>
  <si>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</si>
  <si>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</si>
  <si>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</si>
  <si>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</si>
  <si>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</si>
  <si>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</si>
  <si>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</si>
  <si>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</si>
  <si>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</si>
  <si>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</si>
  <si>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</si>
  <si>
    <t>m(crucible) [g]</t>
  </si>
  <si>
    <t>mean</t>
  </si>
  <si>
    <t>stdev</t>
  </si>
  <si>
    <t>expected weight [g]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</si>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</sst>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0"/>
    <numFmt numFmtId="166" formatCode="0.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C15" sqref="C15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40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J12"/>
  <sheetViews>
    <sheetView workbookViewId="0">
      <selection activeCell="J13" sqref="J13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22.44140625" bestFit="1" customWidth="1"/>
    <col min="7" max="8" width="16.77734375" bestFit="1" customWidth="1"/>
  </cols>
  <sheetData>
    <row r="1" spans="1:10" x14ac:dyDescent="0.3">
      <c r="A1" t="s">
        <v>0</v>
      </c>
      <c r="C1" t="s">
        <v>12</v>
      </c>
      <c r="D1" t="s">
        <v>24</v>
      </c>
      <c r="E1" t="s">
        <v>44</v>
      </c>
      <c r="F1" t="s">
        <v>27</v>
      </c>
      <c r="G1" t="s">
        <v>32</v>
      </c>
      <c r="H1" t="s">
        <v>33</v>
      </c>
      <c r="I1" t="s">
        <v>42</v>
      </c>
      <c r="J1" t="s">
        <v>43</v>
      </c>
    </row>
    <row r="2" spans="1:10" x14ac:dyDescent="0.3">
      <c r="A2" t="s">
        <v>25</v>
      </c>
      <c r="C2" t="s">
        <v>13</v>
      </c>
      <c r="D2">
        <v>1.0589</v>
      </c>
      <c r="E2">
        <v>1</v>
      </c>
      <c r="F2">
        <v>41</v>
      </c>
      <c r="G2">
        <v>50</v>
      </c>
      <c r="H2" s="1">
        <f>((F2*G2*E2)/D2)/1000</f>
        <v>1.9359712909623195</v>
      </c>
    </row>
    <row r="3" spans="1:10" x14ac:dyDescent="0.3">
      <c r="A3" t="s">
        <v>26</v>
      </c>
      <c r="C3" t="s">
        <v>14</v>
      </c>
      <c r="D3">
        <v>1.0946</v>
      </c>
      <c r="E3">
        <v>1</v>
      </c>
      <c r="F3">
        <v>44</v>
      </c>
      <c r="G3">
        <v>50</v>
      </c>
      <c r="H3" s="1">
        <f t="shared" ref="H3:H11" si="0">((F3*G3*E3)/D3)/1000</f>
        <v>2.0098666179426274</v>
      </c>
    </row>
    <row r="4" spans="1:10" x14ac:dyDescent="0.3">
      <c r="C4" t="s">
        <v>15</v>
      </c>
      <c r="D4">
        <v>1.0609999999999999</v>
      </c>
      <c r="E4">
        <v>1</v>
      </c>
      <c r="F4">
        <v>41</v>
      </c>
      <c r="G4">
        <v>50</v>
      </c>
      <c r="H4" s="1">
        <f>((F4*G4*E4)/D4)/1000</f>
        <v>1.9321394910461829</v>
      </c>
      <c r="I4" s="1">
        <f>AVERAGE(H2:H4)</f>
        <v>1.9593257999837099</v>
      </c>
      <c r="J4" s="4">
        <f>_xlfn.STDEV.P(H2:H4)</f>
        <v>3.5771975834132649E-2</v>
      </c>
    </row>
    <row r="5" spans="1:10" x14ac:dyDescent="0.3">
      <c r="C5" t="s">
        <v>16</v>
      </c>
      <c r="D5">
        <v>1.0511999999999999</v>
      </c>
      <c r="E5">
        <v>1</v>
      </c>
      <c r="F5">
        <v>39</v>
      </c>
      <c r="G5">
        <v>50</v>
      </c>
      <c r="H5" s="1">
        <f t="shared" si="0"/>
        <v>1.8550228310502284</v>
      </c>
    </row>
    <row r="6" spans="1:10" x14ac:dyDescent="0.3">
      <c r="C6" t="s">
        <v>17</v>
      </c>
      <c r="D6">
        <v>1.0470999999999999</v>
      </c>
      <c r="E6">
        <v>1</v>
      </c>
      <c r="F6">
        <v>38</v>
      </c>
      <c r="G6">
        <v>50</v>
      </c>
      <c r="H6" s="1">
        <f t="shared" si="0"/>
        <v>1.8145353834399773</v>
      </c>
    </row>
    <row r="7" spans="1:10" x14ac:dyDescent="0.3">
      <c r="C7" t="s">
        <v>18</v>
      </c>
      <c r="D7">
        <v>1.0250999999999999</v>
      </c>
      <c r="E7">
        <v>1</v>
      </c>
      <c r="F7">
        <v>39</v>
      </c>
      <c r="G7">
        <v>50</v>
      </c>
      <c r="H7" s="1">
        <f t="shared" si="0"/>
        <v>1.9022534386889085</v>
      </c>
      <c r="I7" s="1">
        <f>AVERAGE(H5:H7)</f>
        <v>1.8572705510597045</v>
      </c>
      <c r="J7" s="4">
        <f>_xlfn.STDEV.P(H5:H7)</f>
        <v>3.5845999201160376E-2</v>
      </c>
    </row>
    <row r="8" spans="1:10" x14ac:dyDescent="0.3">
      <c r="C8" t="s">
        <v>19</v>
      </c>
      <c r="D8">
        <v>1.0347999999999999</v>
      </c>
      <c r="E8">
        <v>1</v>
      </c>
      <c r="F8">
        <v>39</v>
      </c>
      <c r="G8">
        <v>50</v>
      </c>
      <c r="H8" s="1">
        <f t="shared" si="0"/>
        <v>1.8844221105527641</v>
      </c>
    </row>
    <row r="9" spans="1:10" x14ac:dyDescent="0.3">
      <c r="C9" t="s">
        <v>20</v>
      </c>
      <c r="D9" s="2">
        <v>1.0647</v>
      </c>
      <c r="E9">
        <v>1</v>
      </c>
      <c r="F9">
        <v>36</v>
      </c>
      <c r="G9">
        <v>50</v>
      </c>
      <c r="H9" s="1">
        <f t="shared" si="0"/>
        <v>1.6906170752324599</v>
      </c>
    </row>
    <row r="10" spans="1:10" x14ac:dyDescent="0.3">
      <c r="C10" t="s">
        <v>21</v>
      </c>
      <c r="D10">
        <v>1.0263</v>
      </c>
      <c r="E10">
        <v>1</v>
      </c>
      <c r="F10">
        <v>39</v>
      </c>
      <c r="G10">
        <v>50</v>
      </c>
      <c r="H10" s="1">
        <f t="shared" si="0"/>
        <v>1.900029231218942</v>
      </c>
      <c r="I10" s="1">
        <f>AVERAGE(H8:H10)</f>
        <v>1.8250228056680553</v>
      </c>
      <c r="J10" s="4">
        <f>_xlfn.STDEV.P(H8:H10)</f>
        <v>9.5252544443063289E-2</v>
      </c>
    </row>
    <row r="11" spans="1:10" x14ac:dyDescent="0.3">
      <c r="C11" t="s">
        <v>22</v>
      </c>
      <c r="D11" s="3">
        <v>0.49199999999999999</v>
      </c>
      <c r="E11">
        <v>0.5</v>
      </c>
      <c r="F11">
        <v>67</v>
      </c>
      <c r="G11">
        <v>50</v>
      </c>
      <c r="H11" s="1">
        <f t="shared" si="0"/>
        <v>3.404471544715447</v>
      </c>
    </row>
    <row r="12" spans="1:10" x14ac:dyDescent="0.3">
      <c r="C12" t="s">
        <v>23</v>
      </c>
      <c r="D12">
        <v>0.49830000000000002</v>
      </c>
      <c r="E12">
        <v>0.5</v>
      </c>
      <c r="F12">
        <v>57</v>
      </c>
      <c r="G12">
        <v>50</v>
      </c>
      <c r="H12" s="1">
        <f>((F12*G12*E12)/D12)/1000</f>
        <v>2.8597230583985551</v>
      </c>
      <c r="I12" s="1">
        <f>AVERAGE(H11:H12)</f>
        <v>3.1320973015570011</v>
      </c>
      <c r="J12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L10"/>
  <sheetViews>
    <sheetView tabSelected="1" workbookViewId="0">
      <selection activeCell="H16" sqref="H16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</cols>
  <sheetData>
    <row r="1" spans="1:12" x14ac:dyDescent="0.3">
      <c r="A1" t="s">
        <v>31</v>
      </c>
      <c r="C1" t="s">
        <v>28</v>
      </c>
      <c r="D1" t="s">
        <v>2</v>
      </c>
      <c r="E1" t="s">
        <v>29</v>
      </c>
      <c r="F1" t="s">
        <v>41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</row>
    <row r="2" spans="1:12" x14ac:dyDescent="0.3">
      <c r="C2">
        <v>8</v>
      </c>
      <c r="D2" t="s">
        <v>30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J2">
        <v>32.394799999999996</v>
      </c>
      <c r="K2">
        <f>J2-F2</f>
        <v>0.39829999999999544</v>
      </c>
      <c r="L2" s="1">
        <f>(K2/H2)*100</f>
        <v>19.613926232333458</v>
      </c>
    </row>
    <row r="3" spans="1:12" x14ac:dyDescent="0.3">
      <c r="C3">
        <v>9</v>
      </c>
      <c r="D3" t="s">
        <v>30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J3">
        <v>34.417700000000004</v>
      </c>
      <c r="K3">
        <f t="shared" ref="K3:K10" si="2">J3-F3</f>
        <v>0.41520000000000579</v>
      </c>
      <c r="L3" s="1">
        <f t="shared" ref="L3:L10" si="3">(K3/H3)*100</f>
        <v>26.57790295736811</v>
      </c>
    </row>
    <row r="4" spans="1:12" x14ac:dyDescent="0.3">
      <c r="C4">
        <v>5</v>
      </c>
      <c r="D4" t="s">
        <v>30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v>33.775100000000002</v>
      </c>
      <c r="K4" s="3">
        <f t="shared" si="2"/>
        <v>0.41799999999999926</v>
      </c>
      <c r="L4" s="1">
        <f t="shared" si="3"/>
        <v>14.765100671140935</v>
      </c>
    </row>
    <row r="5" spans="1:12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J5">
        <v>34.533900000000003</v>
      </c>
      <c r="K5" s="3">
        <f t="shared" si="2"/>
        <v>0.4789999999999992</v>
      </c>
      <c r="L5" s="1">
        <f t="shared" si="3"/>
        <v>20.619000473505224</v>
      </c>
    </row>
    <row r="6" spans="1:12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J6">
        <v>34.061399999999999</v>
      </c>
      <c r="K6">
        <f t="shared" si="2"/>
        <v>0.43959999999999866</v>
      </c>
      <c r="L6" s="1">
        <f t="shared" si="3"/>
        <v>20.828200511702789</v>
      </c>
    </row>
    <row r="7" spans="1:12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>
        <v>35.5488</v>
      </c>
      <c r="K7">
        <f t="shared" si="2"/>
        <v>0.45159999999999911</v>
      </c>
      <c r="L7" s="1">
        <f t="shared" si="3"/>
        <v>21.050668904115945</v>
      </c>
    </row>
    <row r="8" spans="1:12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J8">
        <v>33.623399999999997</v>
      </c>
      <c r="K8">
        <f t="shared" si="2"/>
        <v>0.46859999999999502</v>
      </c>
      <c r="L8" s="1">
        <f t="shared" si="3"/>
        <v>20.016231685959401</v>
      </c>
    </row>
    <row r="9" spans="1:12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J9">
        <v>31.758700000000001</v>
      </c>
      <c r="K9" s="3">
        <f t="shared" si="2"/>
        <v>0.49600000000000222</v>
      </c>
      <c r="L9" s="1">
        <f t="shared" si="3"/>
        <v>19.688790092092802</v>
      </c>
    </row>
    <row r="10" spans="1:12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>
        <v>35.045499999999997</v>
      </c>
      <c r="K10" s="3">
        <f t="shared" si="2"/>
        <v>0.5</v>
      </c>
      <c r="L10" s="1">
        <f t="shared" si="3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2026-03-16T16:20:00Z</dcterms:modified>
</cp:coreProperties>
</file>