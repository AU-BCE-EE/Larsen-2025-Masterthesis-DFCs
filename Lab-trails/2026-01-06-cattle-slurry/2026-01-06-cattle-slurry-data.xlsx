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1-06-cattle-slurry\"/>
    </mc:Choice>
  </mc:AlternateContent>
  <xr:revisionPtr revIDLastSave="0" documentId="13_ncr:1_{C1027DC6-B297-4E18-87D7-8EBD75E6AB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H" sheetId="1" r:id="rId1"/>
    <sheet name="TAN" sheetId="2" r:id="rId2"/>
    <sheet name="Dry-mat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I12" i="2"/>
  <c r="H2" i="2"/>
  <c r="H4" i="2"/>
  <c r="I4" i="2"/>
  <c r="J10" i="2"/>
  <c r="J7" i="2"/>
  <c r="J4" i="2"/>
  <c r="I10" i="2"/>
  <c r="I7" i="2"/>
  <c r="I2" i="3"/>
  <c r="H3" i="2"/>
  <c r="H5" i="2"/>
  <c r="H6" i="2"/>
  <c r="H7" i="2"/>
  <c r="H8" i="2"/>
  <c r="H9" i="2"/>
  <c r="H10" i="2"/>
  <c r="H11" i="2"/>
  <c r="K2" i="3" l="1"/>
  <c r="H2" i="3"/>
  <c r="L3" i="3"/>
  <c r="L4" i="3"/>
  <c r="L5" i="3"/>
  <c r="L6" i="3"/>
  <c r="L7" i="3"/>
  <c r="L8" i="3"/>
  <c r="L9" i="3"/>
  <c r="L10" i="3"/>
  <c r="L2" i="3"/>
  <c r="K3" i="3"/>
  <c r="K4" i="3"/>
  <c r="K5" i="3"/>
  <c r="K6" i="3"/>
  <c r="K7" i="3"/>
  <c r="K8" i="3"/>
  <c r="K9" i="3"/>
  <c r="K10" i="3"/>
  <c r="I3" i="3"/>
  <c r="I4" i="3"/>
  <c r="I5" i="3"/>
  <c r="I6" i="3"/>
  <c r="I7" i="3"/>
  <c r="I8" i="3"/>
  <c r="I9" i="3"/>
  <c r="I10" i="3"/>
  <c r="H3" i="3"/>
  <c r="H4" i="3"/>
  <c r="H5" i="3"/>
  <c r="H6" i="3"/>
  <c r="H7" i="3"/>
  <c r="H8" i="3"/>
  <c r="H9" i="3"/>
  <c r="H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Løvig Larsen</author>
    <author>tc={DE2B62CE-1197-4D9A-AE1C-C60E9F763AD9}</author>
    <author>tc={0B6EC8EA-5D5D-4522-94CA-748C2EF8976E}</author>
  </authors>
  <commentList>
    <comment ref="E1" authorId="0" shapeId="0" xr:uid="{83D0CFFF-C029-459E-9523-597C936FA63D}">
      <text>
        <r>
          <rPr>
            <b/>
            <sz val="9"/>
            <color indexed="81"/>
            <rFont val="Tahoma"/>
            <family val="2"/>
          </rPr>
          <t>Mikael Løvig Larsen:</t>
        </r>
        <r>
          <rPr>
            <sz val="9"/>
            <color indexed="81"/>
            <rFont val="Tahoma"/>
            <family val="2"/>
          </rPr>
          <t xml:space="preserve">
no container mass</t>
        </r>
      </text>
    </comment>
    <comment ref="G1" authorId="1" shapeId="0" xr:uid="{DE2B62CE-1197-4D9A-AE1C-C60E9F763AD9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+ crucible</t>
      </text>
    </comment>
    <comment ref="I5" authorId="2" shapeId="0" xr:uid="{0B6EC8EA-5D5D-4522-94CA-748C2EF8976E}">
      <text>
        <t>[Threaded comment]
Your version of Excel allows you to read this threaded comment; however, any edits to it will get removed if the file is opened in a newer version of Excel. Learn more: https://go.microsoft.com/fwlink/?linkid=870924
Comment:
    Acidification homogenzes the sample?</t>
      </text>
    </comment>
  </commentList>
</comments>
</file>

<file path=xl/sharedStrings.xml><?xml version="1.0" encoding="utf-8"?>
<sst xmlns="http://schemas.openxmlformats.org/spreadsheetml/2006/main" count="59" uniqueCount="45">
  <si>
    <t>Description</t>
  </si>
  <si>
    <t>triplicate measurements on same sample at different locations</t>
  </si>
  <si>
    <t>Treatment</t>
  </si>
  <si>
    <t>AA</t>
  </si>
  <si>
    <t>H2SO4</t>
  </si>
  <si>
    <t>Untreated</t>
  </si>
  <si>
    <t>V acid [mL]</t>
  </si>
  <si>
    <t>pH before</t>
  </si>
  <si>
    <t>500 g slurry acidified for each treatment</t>
  </si>
  <si>
    <t>pH after</t>
  </si>
  <si>
    <t>-</t>
  </si>
  <si>
    <t>pH before exp</t>
  </si>
  <si>
    <t>ID</t>
  </si>
  <si>
    <t>untreated1</t>
  </si>
  <si>
    <t>untreated2</t>
  </si>
  <si>
    <t>untreated3</t>
  </si>
  <si>
    <t>AA1</t>
  </si>
  <si>
    <t>AA2</t>
  </si>
  <si>
    <t>AA3</t>
  </si>
  <si>
    <t>H2SO4 1</t>
  </si>
  <si>
    <t>H2SO4 2</t>
  </si>
  <si>
    <t>H2SO4 3</t>
  </si>
  <si>
    <t>STD 1</t>
  </si>
  <si>
    <t>STD 2</t>
  </si>
  <si>
    <t>m(slurry) [g]</t>
  </si>
  <si>
    <t>49 mL of water for slurry samples</t>
  </si>
  <si>
    <t>24.5 for stds</t>
  </si>
  <si>
    <t>NH4 measurement [mg/L]</t>
  </si>
  <si>
    <t>Crucible nr</t>
  </si>
  <si>
    <t>m(sample, wet) [g]</t>
  </si>
  <si>
    <t>Untr</t>
  </si>
  <si>
    <t>Decription</t>
  </si>
  <si>
    <t>DF</t>
  </si>
  <si>
    <t>NH4-N sample[g/L]</t>
  </si>
  <si>
    <t>m after oven [g]</t>
  </si>
  <si>
    <t>m dry [g]</t>
  </si>
  <si>
    <t>%DM</t>
  </si>
  <si>
    <t>m(ash) + crucible [g]</t>
  </si>
  <si>
    <t>m(ash) [g]</t>
  </si>
  <si>
    <t>%ash</t>
  </si>
  <si>
    <t>std</t>
  </si>
  <si>
    <t>m(crucible) [g]</t>
  </si>
  <si>
    <t>mean</t>
  </si>
  <si>
    <t>stdev</t>
  </si>
  <si>
    <t>expected weight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</si>
</sst>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380A6CCD-0068-49C3-8C44-2C89BA86DCBA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1-08T13:03:57.50" personId="{380A6CCD-0068-49C3-8C44-2C89BA86DCBA}" id="{DE2B62CE-1197-4D9A-AE1C-C60E9F763AD9}">
    <text>Sample + crucible</text>
  </threadedComment>
  <threadedComment ref="I5" dT="2026-01-08T14:22:31.22" personId="{380A6CCD-0068-49C3-8C44-2C89BA86DCBA}" id="{0B6EC8EA-5D5D-4522-94CA-748C2EF8976E}">
    <text>Acidification homogenzes the sample?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C15" sqref="C15"/>
    </sheetView>
  </sheetViews>
  <sheetFormatPr defaultRowHeight="14.4" x14ac:dyDescent="0.3"/>
  <cols>
    <col min="1" max="1" width="56.33203125" bestFit="1" customWidth="1"/>
    <col min="3" max="3" width="10" bestFit="1" customWidth="1"/>
    <col min="4" max="4" width="10.44140625" bestFit="1" customWidth="1"/>
    <col min="5" max="5" width="9.5546875" bestFit="1" customWidth="1"/>
    <col min="7" max="7" width="13.33203125" bestFit="1" customWidth="1"/>
  </cols>
  <sheetData>
    <row r="1" spans="1:9" x14ac:dyDescent="0.3">
      <c r="A1" t="s">
        <v>0</v>
      </c>
      <c r="C1" t="s">
        <v>2</v>
      </c>
      <c r="D1" t="s">
        <v>6</v>
      </c>
      <c r="E1" t="s">
        <v>7</v>
      </c>
      <c r="F1" t="s">
        <v>9</v>
      </c>
      <c r="G1" t="s">
        <v>11</v>
      </c>
    </row>
    <row r="2" spans="1:9" x14ac:dyDescent="0.3">
      <c r="A2" t="s">
        <v>8</v>
      </c>
      <c r="C2" t="s">
        <v>3</v>
      </c>
      <c r="D2" s="1">
        <v>1.7</v>
      </c>
      <c r="E2">
        <v>7.06</v>
      </c>
      <c r="F2">
        <v>6.22</v>
      </c>
      <c r="G2">
        <v>6.39</v>
      </c>
      <c r="H2" s="1">
        <v>6.4</v>
      </c>
      <c r="I2" s="1">
        <v>6.39</v>
      </c>
    </row>
    <row r="3" spans="1:9" x14ac:dyDescent="0.3">
      <c r="A3" t="s">
        <v>1</v>
      </c>
      <c r="C3" t="s">
        <v>4</v>
      </c>
      <c r="D3">
        <v>0.79</v>
      </c>
      <c r="E3">
        <v>7.09</v>
      </c>
      <c r="F3">
        <v>6.23</v>
      </c>
      <c r="G3">
        <v>6.43</v>
      </c>
      <c r="H3">
        <v>6.41</v>
      </c>
      <c r="I3">
        <v>6.41</v>
      </c>
    </row>
    <row r="4" spans="1:9" x14ac:dyDescent="0.3">
      <c r="C4" t="s">
        <v>5</v>
      </c>
      <c r="D4">
        <v>0</v>
      </c>
      <c r="E4">
        <v>6.95</v>
      </c>
      <c r="F4" t="s">
        <v>10</v>
      </c>
      <c r="G4">
        <v>7.04</v>
      </c>
      <c r="H4">
        <v>7.04</v>
      </c>
      <c r="I4">
        <v>7.04</v>
      </c>
    </row>
    <row r="6" spans="1:9" x14ac:dyDescent="0.3">
      <c r="C6" t="s">
        <v>40</v>
      </c>
      <c r="D6" t="s">
        <v>10</v>
      </c>
      <c r="E6" t="s">
        <v>10</v>
      </c>
      <c r="F6" t="s">
        <v>10</v>
      </c>
      <c r="G6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90D-8C65-402E-B031-C0A94901E7D3}">
  <dimension ref="A1:J12"/>
  <sheetViews>
    <sheetView tabSelected="1" workbookViewId="0">
      <selection activeCell="H13" sqref="H13"/>
    </sheetView>
  </sheetViews>
  <sheetFormatPr defaultRowHeight="14.4" x14ac:dyDescent="0.3"/>
  <cols>
    <col min="1" max="1" width="29.88671875" bestFit="1" customWidth="1"/>
    <col min="3" max="3" width="10.5546875" bestFit="1" customWidth="1"/>
    <col min="4" max="4" width="11.6640625" bestFit="1" customWidth="1"/>
    <col min="5" max="5" width="23.5546875" bestFit="1" customWidth="1"/>
    <col min="6" max="6" width="22.44140625" bestFit="1" customWidth="1"/>
    <col min="7" max="8" width="16.77734375" bestFit="1" customWidth="1"/>
  </cols>
  <sheetData>
    <row r="1" spans="1:10" x14ac:dyDescent="0.3">
      <c r="A1" t="s">
        <v>0</v>
      </c>
      <c r="C1" t="s">
        <v>12</v>
      </c>
      <c r="D1" t="s">
        <v>24</v>
      </c>
      <c r="E1" t="s">
        <v>44</v>
      </c>
      <c r="F1" t="s">
        <v>27</v>
      </c>
      <c r="G1" t="s">
        <v>32</v>
      </c>
      <c r="H1" t="s">
        <v>33</v>
      </c>
      <c r="I1" t="s">
        <v>42</v>
      </c>
      <c r="J1" t="s">
        <v>43</v>
      </c>
    </row>
    <row r="2" spans="1:10" x14ac:dyDescent="0.3">
      <c r="A2" t="s">
        <v>25</v>
      </c>
      <c r="C2" t="s">
        <v>13</v>
      </c>
      <c r="D2">
        <v>1.0589</v>
      </c>
      <c r="E2">
        <v>1</v>
      </c>
      <c r="F2">
        <v>41</v>
      </c>
      <c r="G2">
        <v>50</v>
      </c>
      <c r="H2" s="1">
        <f>((F2*G2*E2)/D2)/1000</f>
        <v>1.9359712909623195</v>
      </c>
    </row>
    <row r="3" spans="1:10" x14ac:dyDescent="0.3">
      <c r="A3" t="s">
        <v>26</v>
      </c>
      <c r="C3" t="s">
        <v>14</v>
      </c>
      <c r="D3">
        <v>1.0946</v>
      </c>
      <c r="E3">
        <v>1</v>
      </c>
      <c r="F3">
        <v>44</v>
      </c>
      <c r="G3">
        <v>50</v>
      </c>
      <c r="H3" s="1">
        <f t="shared" ref="H3:H12" si="0">((F3*G3*E3)/D3)/1000</f>
        <v>2.0098666179426274</v>
      </c>
    </row>
    <row r="4" spans="1:10" x14ac:dyDescent="0.3">
      <c r="C4" t="s">
        <v>15</v>
      </c>
      <c r="D4">
        <v>1.0609999999999999</v>
      </c>
      <c r="E4">
        <v>1</v>
      </c>
      <c r="F4">
        <v>41</v>
      </c>
      <c r="G4">
        <v>50</v>
      </c>
      <c r="H4" s="1">
        <f>((F4*G4*E4)/D4)/1000</f>
        <v>1.9321394910461829</v>
      </c>
      <c r="I4" s="1">
        <f>AVERAGE(H2:H4)</f>
        <v>1.9593257999837099</v>
      </c>
      <c r="J4" s="4">
        <f>_xlfn.STDEV.P(H2:H4)</f>
        <v>3.5771975834132649E-2</v>
      </c>
    </row>
    <row r="5" spans="1:10" x14ac:dyDescent="0.3">
      <c r="C5" t="s">
        <v>16</v>
      </c>
      <c r="D5">
        <v>1.0511999999999999</v>
      </c>
      <c r="E5">
        <v>1</v>
      </c>
      <c r="F5">
        <v>39</v>
      </c>
      <c r="G5">
        <v>50</v>
      </c>
      <c r="H5" s="1">
        <f t="shared" si="0"/>
        <v>1.8550228310502284</v>
      </c>
    </row>
    <row r="6" spans="1:10" x14ac:dyDescent="0.3">
      <c r="C6" t="s">
        <v>17</v>
      </c>
      <c r="D6">
        <v>1.0470999999999999</v>
      </c>
      <c r="E6">
        <v>1</v>
      </c>
      <c r="F6">
        <v>38</v>
      </c>
      <c r="G6">
        <v>50</v>
      </c>
      <c r="H6" s="1">
        <f t="shared" si="0"/>
        <v>1.8145353834399773</v>
      </c>
    </row>
    <row r="7" spans="1:10" x14ac:dyDescent="0.3">
      <c r="C7" t="s">
        <v>18</v>
      </c>
      <c r="D7">
        <v>1.0250999999999999</v>
      </c>
      <c r="E7">
        <v>1</v>
      </c>
      <c r="F7">
        <v>39</v>
      </c>
      <c r="G7">
        <v>50</v>
      </c>
      <c r="H7" s="1">
        <f t="shared" si="0"/>
        <v>1.9022534386889085</v>
      </c>
      <c r="I7" s="1">
        <f>AVERAGE(H5:H7)</f>
        <v>1.8572705510597045</v>
      </c>
      <c r="J7" s="4">
        <f>_xlfn.STDEV.P(H5:H7)</f>
        <v>3.5845999201160376E-2</v>
      </c>
    </row>
    <row r="8" spans="1:10" x14ac:dyDescent="0.3">
      <c r="C8" t="s">
        <v>19</v>
      </c>
      <c r="D8">
        <v>1.0347999999999999</v>
      </c>
      <c r="E8">
        <v>1</v>
      </c>
      <c r="F8">
        <v>39</v>
      </c>
      <c r="G8">
        <v>50</v>
      </c>
      <c r="H8" s="1">
        <f t="shared" si="0"/>
        <v>1.8844221105527641</v>
      </c>
    </row>
    <row r="9" spans="1:10" x14ac:dyDescent="0.3">
      <c r="C9" t="s">
        <v>20</v>
      </c>
      <c r="D9" s="2">
        <v>1.0647</v>
      </c>
      <c r="E9">
        <v>1</v>
      </c>
      <c r="F9">
        <v>36</v>
      </c>
      <c r="G9">
        <v>50</v>
      </c>
      <c r="H9" s="1">
        <f t="shared" si="0"/>
        <v>1.6906170752324599</v>
      </c>
    </row>
    <row r="10" spans="1:10" x14ac:dyDescent="0.3">
      <c r="C10" t="s">
        <v>21</v>
      </c>
      <c r="D10">
        <v>1.0263</v>
      </c>
      <c r="E10">
        <v>1</v>
      </c>
      <c r="F10">
        <v>39</v>
      </c>
      <c r="G10">
        <v>50</v>
      </c>
      <c r="H10" s="1">
        <f t="shared" si="0"/>
        <v>1.900029231218942</v>
      </c>
      <c r="I10" s="1">
        <f>AVERAGE(H8:H10)</f>
        <v>1.8250228056680553</v>
      </c>
      <c r="J10" s="4">
        <f>_xlfn.STDEV.P(H8:H10)</f>
        <v>9.5252544443063289E-2</v>
      </c>
    </row>
    <row r="11" spans="1:10" x14ac:dyDescent="0.3">
      <c r="C11" t="s">
        <v>22</v>
      </c>
      <c r="D11" s="3">
        <v>0.49199999999999999</v>
      </c>
      <c r="E11">
        <v>0.5</v>
      </c>
      <c r="F11">
        <v>67</v>
      </c>
      <c r="G11">
        <v>50</v>
      </c>
      <c r="H11" s="1">
        <f t="shared" si="0"/>
        <v>3.404471544715447</v>
      </c>
    </row>
    <row r="12" spans="1:10" x14ac:dyDescent="0.3">
      <c r="C12" t="s">
        <v>23</v>
      </c>
      <c r="D12">
        <v>0.49830000000000002</v>
      </c>
      <c r="E12">
        <v>0.5</v>
      </c>
      <c r="F12">
        <v>57</v>
      </c>
      <c r="G12">
        <v>50</v>
      </c>
      <c r="H12" s="1">
        <f>((F12*G12*E12)/D12)/1000</f>
        <v>2.8597230583985551</v>
      </c>
      <c r="I12" s="1">
        <f>AVERAGE(H11:H12)</f>
        <v>3.1320973015570011</v>
      </c>
      <c r="J1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C95A-479E-4C84-94F4-777190CE73FB}">
  <dimension ref="A1:L10"/>
  <sheetViews>
    <sheetView workbookViewId="0">
      <selection activeCell="I3" sqref="I3"/>
    </sheetView>
  </sheetViews>
  <sheetFormatPr defaultRowHeight="14.4" x14ac:dyDescent="0.3"/>
  <cols>
    <col min="1" max="1" width="10.21875" bestFit="1" customWidth="1"/>
    <col min="3" max="3" width="10.21875" bestFit="1" customWidth="1"/>
    <col min="4" max="4" width="10" bestFit="1" customWidth="1"/>
    <col min="5" max="5" width="17.6640625" bestFit="1" customWidth="1"/>
    <col min="6" max="6" width="15.109375" bestFit="1" customWidth="1"/>
    <col min="7" max="7" width="14.21875" bestFit="1" customWidth="1"/>
    <col min="10" max="10" width="17.5546875" bestFit="1" customWidth="1"/>
  </cols>
  <sheetData>
    <row r="1" spans="1:12" x14ac:dyDescent="0.3">
      <c r="A1" t="s">
        <v>31</v>
      </c>
      <c r="C1" t="s">
        <v>28</v>
      </c>
      <c r="D1" t="s">
        <v>2</v>
      </c>
      <c r="E1" t="s">
        <v>29</v>
      </c>
      <c r="F1" t="s">
        <v>41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x14ac:dyDescent="0.3">
      <c r="C2">
        <v>8</v>
      </c>
      <c r="D2" t="s">
        <v>30</v>
      </c>
      <c r="E2" s="3">
        <v>30.201000000000001</v>
      </c>
      <c r="F2">
        <v>31.996500000000001</v>
      </c>
      <c r="G2">
        <v>34.027200000000001</v>
      </c>
      <c r="H2">
        <f>G2-F2</f>
        <v>2.0306999999999995</v>
      </c>
      <c r="I2" s="1">
        <f>(H2/E2)*100</f>
        <v>6.7239495380947627</v>
      </c>
      <c r="J2">
        <v>32.394799999999996</v>
      </c>
      <c r="K2">
        <f>J2-F2</f>
        <v>0.39829999999999544</v>
      </c>
      <c r="L2" s="1">
        <f>(K2/H2)*100</f>
        <v>19.613926232333458</v>
      </c>
    </row>
    <row r="3" spans="1:12" x14ac:dyDescent="0.3">
      <c r="C3">
        <v>9</v>
      </c>
      <c r="D3" t="s">
        <v>30</v>
      </c>
      <c r="E3">
        <v>31.4588</v>
      </c>
      <c r="F3">
        <v>34.002499999999998</v>
      </c>
      <c r="G3">
        <v>35.564700000000002</v>
      </c>
      <c r="H3">
        <f t="shared" ref="H3:H10" si="0">G3-F3</f>
        <v>1.5622000000000043</v>
      </c>
      <c r="I3" s="1">
        <f t="shared" ref="I3:I10" si="1">(H3/E3)*100</f>
        <v>4.9658601090950842</v>
      </c>
      <c r="J3">
        <v>34.417700000000004</v>
      </c>
      <c r="K3">
        <f t="shared" ref="K3:K10" si="2">J3-F3</f>
        <v>0.41520000000000579</v>
      </c>
      <c r="L3" s="1">
        <f t="shared" ref="L3:L10" si="3">(K3/H3)*100</f>
        <v>26.57790295736811</v>
      </c>
    </row>
    <row r="4" spans="1:12" x14ac:dyDescent="0.3">
      <c r="C4">
        <v>5</v>
      </c>
      <c r="D4" t="s">
        <v>30</v>
      </c>
      <c r="E4">
        <v>31.767600000000002</v>
      </c>
      <c r="F4">
        <v>33.357100000000003</v>
      </c>
      <c r="G4">
        <v>36.188099999999999</v>
      </c>
      <c r="H4">
        <f t="shared" si="0"/>
        <v>2.830999999999996</v>
      </c>
      <c r="I4" s="1">
        <f t="shared" si="1"/>
        <v>8.9115954620430742</v>
      </c>
      <c r="J4" s="1">
        <v>33.775100000000002</v>
      </c>
      <c r="K4" s="3">
        <f t="shared" si="2"/>
        <v>0.41799999999999926</v>
      </c>
      <c r="L4" s="1">
        <f t="shared" si="3"/>
        <v>14.765100671140935</v>
      </c>
    </row>
    <row r="5" spans="1:12" x14ac:dyDescent="0.3">
      <c r="C5">
        <v>10</v>
      </c>
      <c r="D5" t="s">
        <v>4</v>
      </c>
      <c r="E5">
        <v>32.648000000000003</v>
      </c>
      <c r="F5">
        <v>34.054900000000004</v>
      </c>
      <c r="G5" s="3">
        <v>36.378</v>
      </c>
      <c r="H5">
        <f t="shared" si="0"/>
        <v>2.3230999999999966</v>
      </c>
      <c r="I5" s="1">
        <f t="shared" si="1"/>
        <v>7.1155966674834499</v>
      </c>
      <c r="J5">
        <v>34.533900000000003</v>
      </c>
      <c r="K5" s="3">
        <f t="shared" si="2"/>
        <v>0.4789999999999992</v>
      </c>
      <c r="L5" s="1">
        <f t="shared" si="3"/>
        <v>20.619000473505224</v>
      </c>
    </row>
    <row r="6" spans="1:12" x14ac:dyDescent="0.3">
      <c r="C6">
        <v>20</v>
      </c>
      <c r="D6" t="s">
        <v>4</v>
      </c>
      <c r="E6">
        <v>30.0655</v>
      </c>
      <c r="F6">
        <v>33.6218</v>
      </c>
      <c r="G6">
        <v>35.732399999999998</v>
      </c>
      <c r="H6">
        <f t="shared" si="0"/>
        <v>2.110599999999998</v>
      </c>
      <c r="I6" s="1">
        <f t="shared" si="1"/>
        <v>7.0200063195356739</v>
      </c>
      <c r="J6">
        <v>34.061399999999999</v>
      </c>
      <c r="K6">
        <f t="shared" si="2"/>
        <v>0.43959999999999866</v>
      </c>
      <c r="L6" s="1">
        <f t="shared" si="3"/>
        <v>20.828200511702789</v>
      </c>
    </row>
    <row r="7" spans="1:12" x14ac:dyDescent="0.3">
      <c r="C7">
        <v>15</v>
      </c>
      <c r="D7" t="s">
        <v>4</v>
      </c>
      <c r="E7">
        <v>30.7576</v>
      </c>
      <c r="F7">
        <v>35.097200000000001</v>
      </c>
      <c r="G7">
        <v>37.2425</v>
      </c>
      <c r="H7">
        <f t="shared" si="0"/>
        <v>2.1452999999999989</v>
      </c>
      <c r="I7" s="1">
        <f t="shared" si="1"/>
        <v>6.9748614976461063</v>
      </c>
      <c r="J7">
        <v>35.5488</v>
      </c>
      <c r="K7">
        <f t="shared" si="2"/>
        <v>0.45159999999999911</v>
      </c>
      <c r="L7" s="1">
        <f t="shared" si="3"/>
        <v>21.050668904115945</v>
      </c>
    </row>
    <row r="8" spans="1:12" x14ac:dyDescent="0.3">
      <c r="C8">
        <v>18</v>
      </c>
      <c r="D8" t="s">
        <v>3</v>
      </c>
      <c r="E8">
        <v>34.088799999999999</v>
      </c>
      <c r="F8">
        <v>33.154800000000002</v>
      </c>
      <c r="G8">
        <v>35.495899999999999</v>
      </c>
      <c r="H8">
        <f t="shared" si="0"/>
        <v>2.3410999999999973</v>
      </c>
      <c r="I8" s="1">
        <f t="shared" si="1"/>
        <v>6.8676515453756002</v>
      </c>
      <c r="J8">
        <v>33.623399999999997</v>
      </c>
      <c r="K8">
        <f t="shared" si="2"/>
        <v>0.46859999999999502</v>
      </c>
      <c r="L8" s="1">
        <f t="shared" si="3"/>
        <v>20.016231685959401</v>
      </c>
    </row>
    <row r="9" spans="1:12" x14ac:dyDescent="0.3">
      <c r="C9">
        <v>212</v>
      </c>
      <c r="D9" t="s">
        <v>3</v>
      </c>
      <c r="E9" s="2">
        <v>37.302900000000001</v>
      </c>
      <c r="F9">
        <v>31.262699999999999</v>
      </c>
      <c r="G9">
        <v>33.7819</v>
      </c>
      <c r="H9">
        <f t="shared" si="0"/>
        <v>2.5192000000000014</v>
      </c>
      <c r="I9" s="1">
        <f t="shared" si="1"/>
        <v>6.7533623391210913</v>
      </c>
      <c r="J9">
        <v>31.758700000000001</v>
      </c>
      <c r="K9" s="3">
        <f t="shared" si="2"/>
        <v>0.49600000000000222</v>
      </c>
      <c r="L9" s="1">
        <f t="shared" si="3"/>
        <v>19.688790092092802</v>
      </c>
    </row>
    <row r="10" spans="1:12" x14ac:dyDescent="0.3">
      <c r="C10">
        <v>19</v>
      </c>
      <c r="D10" t="s">
        <v>3</v>
      </c>
      <c r="E10">
        <v>37.472499999999997</v>
      </c>
      <c r="F10">
        <v>34.545499999999997</v>
      </c>
      <c r="G10">
        <v>37.042099999999998</v>
      </c>
      <c r="H10">
        <f t="shared" si="0"/>
        <v>2.4966000000000008</v>
      </c>
      <c r="I10" s="1">
        <f t="shared" si="1"/>
        <v>6.6624858229368229</v>
      </c>
      <c r="J10">
        <v>35.045499999999997</v>
      </c>
      <c r="K10" s="3">
        <f t="shared" si="2"/>
        <v>0.5</v>
      </c>
      <c r="L10" s="1">
        <f t="shared" si="3"/>
        <v>20.027237042377628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</vt:lpstr>
      <vt:lpstr>TAN</vt:lpstr>
      <vt:lpstr>Dry-matter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2026-03-16T14:16:59Z</dcterms:modified>
</cp:coreProperties>
</file>