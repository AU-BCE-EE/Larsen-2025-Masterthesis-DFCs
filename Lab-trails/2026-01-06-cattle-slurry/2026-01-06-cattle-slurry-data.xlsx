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7C0E3AB6-B288-4E28-96C5-68B8175BEA6B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2" l="1"/>
  <c r="H3" i="2"/>
  <c r="H4" i="2"/>
  <c r="H5" i="2"/>
  <c r="H6" i="2"/>
  <c r="H7" i="2"/>
  <c r="H8" i="2"/>
  <c r="H9" i="2"/>
  <c r="H10" i="2"/>
  <c r="H11" i="2"/>
  <c r="H12" i="2"/>
  <c r="K2" i="3" l="1"/>
  <c r="H2" i="3"/>
  <c r="I2" i="3"/>
  <c r="L3" i="3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I3" i="3"/>
  <c r="I4" i="3"/>
  <c r="I5" i="3"/>
  <c r="I6" i="3"/>
  <c r="I7" i="3"/>
  <c r="I8" i="3"/>
  <c r="I9" i="3"/>
  <c r="I10" i="3"/>
  <c r="H3" i="3"/>
  <c r="H4" i="3"/>
  <c r="H5" i="3"/>
  <c r="H6" i="3"/>
  <c r="H7" i="3"/>
  <c r="H8" i="3"/>
  <c r="H9" i="3"/>
  <c r="H1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<sst xmlns="http://schemas.openxmlformats.org/spreadsheetml/2006/main" count="56" uniqueCount="43">
  <si>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</si>
  <si>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</si>
  <si>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</si>
  <si>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</si>
  <si>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</si>
  <si>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</si>
  <si>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</si>
  <si>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</si>
  <si>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</si>
  <si>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</si>
  <si>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</si>
  <si>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</si>
  <si>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</si>
  <si>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</si>
  <si>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</si>
  <si>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</si>
  <si>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</si>
  <si>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</si>
  <si>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</si>
  <si>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</si>
  <si>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</si>
  <si>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</si>
  <si>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</si>
  <si>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</si>
  <si>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</si>
  <si>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</si>
  <si>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</si>
  <si>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</si>
  <si>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</si>
  <si>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</si>
  <si>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</si>
  <si>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</si>
  <si>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</si>
  <si>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</si>
  <si>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</si>
  <si>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</si>
  <si>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</si>
  <si>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</si>
  <si>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</si>
  <si>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</si>
  <si>
    <t>std</t>
  </si>
  <si>
    <t>m(crucible) [g]</t>
  </si>
  <si>
    <t>expected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</si>
</sst>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workbookViewId="0">
      <selection activeCell="C15" sqref="C15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  <row r="6" spans="1:9" x14ac:dyDescent="0.3">
      <c r="C6" t="s">
        <v>40</v>
      </c>
      <c r="D6" t="s">
        <v>10</v>
      </c>
      <c r="E6" t="s">
        <v>10</v>
      </c>
      <c r="F6" t="s">
        <v>10</v>
      </c>
      <c r="G6">
        <v>8.5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H12"/>
  <sheetViews>
    <sheetView tabSelected="1" workbookViewId="0">
      <selection activeCell="H3" sqref="H3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22.44140625" bestFit="1" customWidth="1"/>
    <col min="7" max="8" width="16.77734375" bestFit="1" customWidth="1"/>
  </cols>
  <sheetData>
    <row r="1" spans="1:8" x14ac:dyDescent="0.3">
      <c r="A1" t="s">
        <v>0</v>
      </c>
      <c r="C1" t="s">
        <v>12</v>
      </c>
      <c r="D1" t="s">
        <v>24</v>
      </c>
      <c r="E1" t="s">
        <v>42</v>
      </c>
      <c r="F1" t="s">
        <v>27</v>
      </c>
      <c r="G1" t="s">
        <v>32</v>
      </c>
      <c r="H1" t="s">
        <v>33</v>
      </c>
    </row>
    <row r="2" spans="1:8" x14ac:dyDescent="0.3">
      <c r="A2" t="s">
        <v>25</v>
      </c>
      <c r="C2" t="s">
        <v>13</v>
      </c>
      <c r="D2">
        <v>1.0589</v>
      </c>
      <c r="E2">
        <v>1</v>
      </c>
      <c r="F2">
        <v>41</v>
      </c>
      <c r="G2">
        <v>50</v>
      </c>
      <c r="H2" s="1">
        <f>((F2*G2*E2)/D2)/1000</f>
        <v>1.9359712909623195</v>
      </c>
    </row>
    <row r="3" spans="1:8" x14ac:dyDescent="0.3">
      <c r="A3" t="s">
        <v>26</v>
      </c>
      <c r="C3" t="s">
        <v>14</v>
      </c>
      <c r="D3">
        <v>1.0946</v>
      </c>
      <c r="E3">
        <v>1</v>
      </c>
      <c r="F3">
        <v>44</v>
      </c>
      <c r="G3">
        <v>50</v>
      </c>
      <c r="H3" s="1">
        <f t="shared" ref="H3:H12" si="0">((F3*G3*E3)/D3)/1000</f>
        <v>2.0098666179426274</v>
      </c>
    </row>
    <row r="4" spans="1:8" x14ac:dyDescent="0.3">
      <c r="C4" t="s">
        <v>15</v>
      </c>
      <c r="D4">
        <v>1.0609999999999999</v>
      </c>
      <c r="E4">
        <v>1</v>
      </c>
      <c r="F4">
        <v>41</v>
      </c>
      <c r="G4">
        <v>50</v>
      </c>
      <c r="H4" s="1">
        <f t="shared" si="0"/>
        <v>1.9321394910461829</v>
      </c>
    </row>
    <row r="5" spans="1:8" x14ac:dyDescent="0.3">
      <c r="C5" t="s">
        <v>16</v>
      </c>
      <c r="D5">
        <v>1.0511999999999999</v>
      </c>
      <c r="E5">
        <v>1</v>
      </c>
      <c r="F5">
        <v>39</v>
      </c>
      <c r="G5">
        <v>50</v>
      </c>
      <c r="H5" s="1">
        <f t="shared" si="0"/>
        <v>1.8550228310502284</v>
      </c>
    </row>
    <row r="6" spans="1:8" x14ac:dyDescent="0.3">
      <c r="C6" t="s">
        <v>17</v>
      </c>
      <c r="D6">
        <v>1.0470999999999999</v>
      </c>
      <c r="E6">
        <v>1</v>
      </c>
      <c r="F6">
        <v>38</v>
      </c>
      <c r="G6">
        <v>50</v>
      </c>
      <c r="H6" s="1">
        <f t="shared" si="0"/>
        <v>1.8145353834399773</v>
      </c>
    </row>
    <row r="7" spans="1:8" x14ac:dyDescent="0.3">
      <c r="C7" t="s">
        <v>18</v>
      </c>
      <c r="D7">
        <v>1.0250999999999999</v>
      </c>
      <c r="E7">
        <v>1</v>
      </c>
      <c r="F7">
        <v>39</v>
      </c>
      <c r="G7">
        <v>50</v>
      </c>
      <c r="H7" s="1">
        <f t="shared" si="0"/>
        <v>1.9022534386889085</v>
      </c>
    </row>
    <row r="8" spans="1:8" x14ac:dyDescent="0.3">
      <c r="C8" t="s">
        <v>19</v>
      </c>
      <c r="D8">
        <v>1.0347999999999999</v>
      </c>
      <c r="E8">
        <v>1</v>
      </c>
      <c r="F8">
        <v>39</v>
      </c>
      <c r="G8">
        <v>50</v>
      </c>
      <c r="H8" s="1">
        <f t="shared" si="0"/>
        <v>1.8844221105527641</v>
      </c>
    </row>
    <row r="9" spans="1:8" x14ac:dyDescent="0.3">
      <c r="C9" t="s">
        <v>20</v>
      </c>
      <c r="D9" s="2">
        <v>1.0647</v>
      </c>
      <c r="E9">
        <v>1</v>
      </c>
      <c r="F9">
        <v>36</v>
      </c>
      <c r="G9">
        <v>50</v>
      </c>
      <c r="H9" s="1">
        <f t="shared" si="0"/>
        <v>1.6906170752324599</v>
      </c>
    </row>
    <row r="10" spans="1:8" x14ac:dyDescent="0.3">
      <c r="C10" t="s">
        <v>21</v>
      </c>
      <c r="D10">
        <v>1.0263</v>
      </c>
      <c r="E10">
        <v>1</v>
      </c>
      <c r="F10">
        <v>39</v>
      </c>
      <c r="G10">
        <v>50</v>
      </c>
      <c r="H10" s="1">
        <f t="shared" si="0"/>
        <v>1.900029231218942</v>
      </c>
    </row>
    <row r="11" spans="1:8" x14ac:dyDescent="0.3">
      <c r="C11" t="s">
        <v>22</v>
      </c>
      <c r="D11" s="3">
        <v>0.49199999999999999</v>
      </c>
      <c r="E11">
        <v>0.5</v>
      </c>
      <c r="F11">
        <v>67</v>
      </c>
      <c r="G11">
        <v>50</v>
      </c>
      <c r="H11" s="1">
        <f t="shared" si="0"/>
        <v>3.404471544715447</v>
      </c>
    </row>
    <row r="12" spans="1:8" x14ac:dyDescent="0.3">
      <c r="C12" t="s">
        <v>23</v>
      </c>
      <c r="D12">
        <v>0.49830000000000002</v>
      </c>
      <c r="E12">
        <v>0.5</v>
      </c>
      <c r="F12">
        <v>57</v>
      </c>
      <c r="G12">
        <v>50</v>
      </c>
      <c r="H12" s="1">
        <f t="shared" si="0"/>
        <v>2.8597230583985551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workbookViewId="0">
      <selection activeCell="D5" sqref="D5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31</v>
      </c>
      <c r="C1" t="s">
        <v>28</v>
      </c>
      <c r="D1" t="s">
        <v>2</v>
      </c>
      <c r="E1" t="s">
        <v>29</v>
      </c>
      <c r="F1" t="s">
        <v>41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</row>
    <row r="2" spans="1:12" x14ac:dyDescent="0.3">
      <c r="C2">
        <v>8</v>
      </c>
      <c r="D2" t="s">
        <v>30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30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30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2026-02-22T15:00:36Z</dcterms:modified>
</cp:coreProperties>
</file>