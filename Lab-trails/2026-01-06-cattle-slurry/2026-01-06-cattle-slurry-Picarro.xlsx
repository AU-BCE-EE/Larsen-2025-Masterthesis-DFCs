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1-06-cattle-slurry\"/>
    </mc:Choice>
  </mc:AlternateContent>
  <xr:revisionPtr revIDLastSave="0" documentId="13_ncr:1_{76CCDDB3-1FAE-418A-81E3-6C79244AE4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ar and valve id overview" sheetId="1" r:id="rId1"/>
    <sheet name="Picar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" i="2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tc={DFE91DE2-97B6-4683-BB64-BFCD2C85D76D}</author>
    <author>tc={D6A11C27-28E7-4435-BC4A-E3E1711C9750}</author>
  </authors>
  <commentList>
    <comment ref="F2" authorId="0" shapeId="0" xr:uid="{DFE91DE2-97B6-4683-BB64-BFCD2C85D7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Real time noted
09:17 in Picarro log-file, known delay by excatly 1 h</t>
      </text>
    </comment>
    <comment ref="J8" authorId="1" shapeId="0" xr:uid="{D6A11C27-28E7-4435-BC4A-E3E1711C9750}">
      <text>
        <t>[Threaded comment]
Your version of Excel allows you to read this threaded comment; however, any edits to it will get removed if the file is opened in a newer version of Excel. Learn more: https://go.microsoft.com/fwlink/?linkid=870924
Comment:
    Didn’t write this, using an average from other jar measurements</t>
      </text>
    </comment>
  </commentList>
</comments>
</file>

<file path=xl/sharedStrings.xml><?xml version="1.0" encoding="utf-8"?>
<sst xmlns="http://schemas.openxmlformats.org/spreadsheetml/2006/main" count="56" uniqueCount="30">
  <si>
    <t>Picarro ID</t>
  </si>
  <si>
    <t>Jar ID</t>
  </si>
  <si>
    <t>Note</t>
  </si>
  <si>
    <t>-</t>
  </si>
  <si>
    <t>Background</t>
  </si>
  <si>
    <t>Valve code</t>
  </si>
  <si>
    <t>Rot. Valve code</t>
  </si>
  <si>
    <t>Treatment</t>
  </si>
  <si>
    <t>m sample[g]</t>
  </si>
  <si>
    <t>Starttime Picarro</t>
  </si>
  <si>
    <t>P Untr</t>
  </si>
  <si>
    <t>F H2SO4</t>
  </si>
  <si>
    <t>STD</t>
  </si>
  <si>
    <t>P H2SO4</t>
  </si>
  <si>
    <t>P AA</t>
  </si>
  <si>
    <t>F AA</t>
  </si>
  <si>
    <t>F Untr</t>
  </si>
  <si>
    <t xml:space="preserve">F Untr </t>
  </si>
  <si>
    <t>P Unrt</t>
  </si>
  <si>
    <t>endtime Piccarro</t>
  </si>
  <si>
    <t>enddate</t>
  </si>
  <si>
    <t>startdate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</si>
  <si>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t [h]</t>
    </r>
  </si>
  <si>
    <t>Q sample start [SL/min]</t>
  </si>
  <si>
    <t>Q Bypass start [SL/min]</t>
  </si>
  <si>
    <t>Q sample end [SL/min]</t>
  </si>
  <si>
    <t>Q  Bypass end [SL/min]</t>
  </si>
  <si>
    <t>Qtot start [SL/min]</t>
  </si>
  <si>
    <t>Qtot end [SL/min]</t>
  </si>
  <si>
    <t>Q mean [Sl/min]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</si>
</sst>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3" borderId="0" xfId="0" applyFill="1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665E6C45-FDD8-469A-93B0-28134F14276F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6-01-08T09:15:27.58" personId="{665E6C45-FDD8-469A-93B0-28134F14276F}" id="{DFE91DE2-97B6-4683-BB64-BFCD2C85D76D}">
    <text>Real time noted
09:17 in Picarro log-file, known delay by excatly 1 h</text>
  </threadedComment>
  <threadedComment ref="J8" dT="2026-01-08T09:23:24.74" personId="{665E6C45-FDD8-469A-93B0-28134F14276F}" id="{D6A11C27-28E7-4435-BC4A-E3E1711C9750}">
    <text>Didn’t write this, using an average from other jar measurements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C28" sqref="C28"/>
    </sheetView>
  </sheetViews>
  <sheetFormatPr defaultRowHeight="14.4" x14ac:dyDescent="0.3"/>
  <cols>
    <col min="3" max="3" width="10.5546875" bestFit="1" customWidth="1"/>
    <col min="4" max="4" width="11" bestFit="1" customWidth="1"/>
    <col min="5" max="5" width="14.88671875" bestFit="1" customWidth="1"/>
    <col min="6" max="7" width="20.77734375" bestFit="1" customWidth="1"/>
    <col min="8" max="8" width="20.21875" bestFit="1" customWidth="1"/>
    <col min="9" max="9" width="20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</row>
    <row r="3" spans="1:3" x14ac:dyDescent="0.3">
      <c r="A3">
        <v>2</v>
      </c>
      <c r="B3">
        <v>2</v>
      </c>
    </row>
    <row r="4" spans="1:3" x14ac:dyDescent="0.3">
      <c r="A4">
        <v>3</v>
      </c>
      <c r="B4">
        <v>3</v>
      </c>
    </row>
    <row r="5" spans="1:3" x14ac:dyDescent="0.3">
      <c r="A5">
        <v>4</v>
      </c>
      <c r="B5">
        <v>4</v>
      </c>
    </row>
    <row r="6" spans="1:3" x14ac:dyDescent="0.3">
      <c r="A6">
        <v>5</v>
      </c>
      <c r="B6">
        <v>5</v>
      </c>
    </row>
    <row r="7" spans="1:3" x14ac:dyDescent="0.3">
      <c r="A7">
        <v>6</v>
      </c>
      <c r="B7">
        <v>6</v>
      </c>
    </row>
    <row r="8" spans="1:3" x14ac:dyDescent="0.3">
      <c r="A8">
        <v>7</v>
      </c>
      <c r="B8">
        <v>7</v>
      </c>
    </row>
    <row r="9" spans="1:3" x14ac:dyDescent="0.3">
      <c r="A9">
        <v>8</v>
      </c>
      <c r="B9">
        <v>8</v>
      </c>
    </row>
    <row r="10" spans="1:3" x14ac:dyDescent="0.3">
      <c r="A10">
        <v>9</v>
      </c>
      <c r="B10">
        <v>9</v>
      </c>
    </row>
    <row r="11" spans="1:3" x14ac:dyDescent="0.3">
      <c r="A11">
        <v>10</v>
      </c>
      <c r="B11">
        <v>10</v>
      </c>
    </row>
    <row r="12" spans="1:3" x14ac:dyDescent="0.3">
      <c r="A12">
        <v>11</v>
      </c>
      <c r="B12" t="s">
        <v>3</v>
      </c>
      <c r="C12" t="s">
        <v>4</v>
      </c>
    </row>
    <row r="13" spans="1:3" x14ac:dyDescent="0.3">
      <c r="A13">
        <v>12</v>
      </c>
      <c r="B13" t="s">
        <v>3</v>
      </c>
      <c r="C13" t="s">
        <v>4</v>
      </c>
    </row>
    <row r="14" spans="1:3" x14ac:dyDescent="0.3">
      <c r="A14">
        <v>17</v>
      </c>
      <c r="B14">
        <v>11</v>
      </c>
    </row>
    <row r="15" spans="1:3" x14ac:dyDescent="0.3">
      <c r="A15">
        <v>18</v>
      </c>
      <c r="B15">
        <v>12</v>
      </c>
    </row>
    <row r="16" spans="1:3" x14ac:dyDescent="0.3">
      <c r="A16">
        <v>19</v>
      </c>
      <c r="B16">
        <v>13</v>
      </c>
    </row>
    <row r="17" spans="1:3" x14ac:dyDescent="0.3">
      <c r="A17">
        <v>20</v>
      </c>
      <c r="B17">
        <v>14</v>
      </c>
    </row>
    <row r="18" spans="1:3" x14ac:dyDescent="0.3">
      <c r="A18">
        <v>21</v>
      </c>
      <c r="B18">
        <v>15</v>
      </c>
    </row>
    <row r="19" spans="1:3" x14ac:dyDescent="0.3">
      <c r="A19">
        <v>22</v>
      </c>
      <c r="B19">
        <v>16</v>
      </c>
    </row>
    <row r="20" spans="1:3" x14ac:dyDescent="0.3">
      <c r="A20">
        <v>23</v>
      </c>
      <c r="B20">
        <v>17</v>
      </c>
    </row>
    <row r="21" spans="1:3" x14ac:dyDescent="0.3">
      <c r="A21">
        <v>24</v>
      </c>
      <c r="B21">
        <v>18</v>
      </c>
    </row>
    <row r="22" spans="1:3" x14ac:dyDescent="0.3">
      <c r="A22">
        <v>25</v>
      </c>
      <c r="B22">
        <v>19</v>
      </c>
    </row>
    <row r="23" spans="1:3" x14ac:dyDescent="0.3">
      <c r="A23">
        <v>26</v>
      </c>
      <c r="B23">
        <v>20</v>
      </c>
    </row>
    <row r="24" spans="1:3" x14ac:dyDescent="0.3">
      <c r="A24">
        <v>27</v>
      </c>
      <c r="B24" t="s">
        <v>3</v>
      </c>
      <c r="C24" t="s">
        <v>4</v>
      </c>
    </row>
    <row r="25" spans="1:3" x14ac:dyDescent="0.3">
      <c r="A25">
        <v>28</v>
      </c>
      <c r="B25" t="s">
        <v>3</v>
      </c>
      <c r="C2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1D03-873D-49A4-B894-14582A5CC970}">
  <dimension ref="A1:R25"/>
  <sheetViews>
    <sheetView tabSelected="1" workbookViewId="0">
      <selection activeCell="E7" sqref="E7"/>
    </sheetView>
  </sheetViews>
  <sheetFormatPr defaultRowHeight="14.4" x14ac:dyDescent="0.3"/>
  <cols>
    <col min="1" max="1" width="9.88671875" bestFit="1" customWidth="1"/>
    <col min="2" max="2" width="14.44140625" bestFit="1" customWidth="1"/>
    <col min="3" max="4" width="11" bestFit="1" customWidth="1"/>
    <col min="5" max="5" width="11.6640625" style="4" bestFit="1" customWidth="1"/>
    <col min="6" max="6" width="15.5546875" bestFit="1" customWidth="1"/>
    <col min="7" max="7" width="11.109375" customWidth="1"/>
    <col min="8" max="8" width="21.77734375" bestFit="1" customWidth="1"/>
    <col min="9" max="10" width="21.6640625" bestFit="1" customWidth="1"/>
    <col min="11" max="11" width="15.6640625" bestFit="1" customWidth="1"/>
    <col min="12" max="12" width="23.77734375" bestFit="1" customWidth="1"/>
    <col min="13" max="13" width="10.33203125" bestFit="1" customWidth="1"/>
    <col min="14" max="14" width="14.88671875" bestFit="1" customWidth="1"/>
    <col min="15" max="15" width="10.33203125" bestFit="1" customWidth="1"/>
    <col min="16" max="16" width="16.44140625" style="4" bestFit="1" customWidth="1"/>
    <col min="17" max="17" width="15.6640625" style="4" bestFit="1" customWidth="1"/>
    <col min="18" max="18" width="14.33203125" style="4" bestFit="1" customWidth="1"/>
  </cols>
  <sheetData>
    <row r="1" spans="1:18" x14ac:dyDescent="0.3">
      <c r="A1" t="s">
        <v>5</v>
      </c>
      <c r="B1" t="s">
        <v>6</v>
      </c>
      <c r="C1" t="s">
        <v>1</v>
      </c>
      <c r="D1" t="s">
        <v>7</v>
      </c>
      <c r="E1" s="4" t="s">
        <v>8</v>
      </c>
      <c r="F1" t="s">
        <v>9</v>
      </c>
      <c r="G1" t="s">
        <v>21</v>
      </c>
      <c r="H1" s="6" t="s">
        <v>22</v>
      </c>
      <c r="I1" t="s">
        <v>23</v>
      </c>
      <c r="J1" t="s">
        <v>24</v>
      </c>
      <c r="K1" t="s">
        <v>25</v>
      </c>
      <c r="L1" t="s">
        <v>26</v>
      </c>
      <c r="N1" t="s">
        <v>19</v>
      </c>
      <c r="O1" t="s">
        <v>20</v>
      </c>
      <c r="P1" s="4" t="s">
        <v>27</v>
      </c>
      <c r="Q1" s="4" t="s">
        <v>28</v>
      </c>
      <c r="R1" s="4" t="s">
        <v>29</v>
      </c>
    </row>
    <row r="2" spans="1:18" x14ac:dyDescent="0.3">
      <c r="A2">
        <v>1</v>
      </c>
      <c r="B2">
        <v>1</v>
      </c>
      <c r="C2">
        <v>1</v>
      </c>
      <c r="D2" t="s">
        <v>10</v>
      </c>
      <c r="E2" s="4">
        <v>2.04</v>
      </c>
      <c r="F2" s="1">
        <v>0.42916666666666664</v>
      </c>
      <c r="G2" s="5">
        <v>46028</v>
      </c>
      <c r="H2">
        <v>0</v>
      </c>
      <c r="I2">
        <v>0.22500000000000001</v>
      </c>
      <c r="J2">
        <v>0.93799999999999994</v>
      </c>
      <c r="K2">
        <v>0.27400000000000002</v>
      </c>
      <c r="L2">
        <v>0.89700000000000002</v>
      </c>
      <c r="N2" s="1">
        <v>0.54861111111111116</v>
      </c>
      <c r="O2" s="5">
        <v>46034</v>
      </c>
      <c r="P2" s="4">
        <f>I2+J2</f>
        <v>1.163</v>
      </c>
      <c r="Q2" s="4">
        <f>K2+L2</f>
        <v>1.171</v>
      </c>
      <c r="R2" s="4">
        <f>AVERAGE(P2:Q2)</f>
        <v>1.167</v>
      </c>
    </row>
    <row r="3" spans="1:18" x14ac:dyDescent="0.3">
      <c r="A3">
        <v>2</v>
      </c>
      <c r="B3">
        <v>2</v>
      </c>
      <c r="C3">
        <v>2</v>
      </c>
      <c r="D3" t="s">
        <v>11</v>
      </c>
      <c r="E3" s="4">
        <v>2.1349999999999998</v>
      </c>
      <c r="H3">
        <v>0.25</v>
      </c>
      <c r="I3">
        <v>0.224</v>
      </c>
      <c r="J3">
        <v>0.94399999999999995</v>
      </c>
      <c r="K3">
        <v>0.23300000000000001</v>
      </c>
      <c r="L3">
        <v>0.93799999999999994</v>
      </c>
      <c r="P3" s="4">
        <f t="shared" ref="P3:P25" si="0">I3+J3</f>
        <v>1.1679999999999999</v>
      </c>
      <c r="Q3" s="4">
        <f t="shared" ref="Q3:Q25" si="1">K3+L3</f>
        <v>1.171</v>
      </c>
      <c r="R3" s="4">
        <f t="shared" ref="R3:R25" si="2">AVERAGE(P3:Q3)</f>
        <v>1.1695</v>
      </c>
    </row>
    <row r="4" spans="1:18" x14ac:dyDescent="0.3">
      <c r="A4">
        <v>3</v>
      </c>
      <c r="B4">
        <v>3</v>
      </c>
      <c r="C4">
        <v>3</v>
      </c>
      <c r="D4" t="s">
        <v>12</v>
      </c>
      <c r="E4" s="4">
        <v>2.0219999999999998</v>
      </c>
      <c r="H4">
        <f>H3+0.25</f>
        <v>0.5</v>
      </c>
      <c r="I4">
        <v>0.22600000000000001</v>
      </c>
      <c r="J4" s="4">
        <v>0.94</v>
      </c>
      <c r="K4">
        <v>0.22900000000000001</v>
      </c>
      <c r="L4">
        <v>0.94099999999999995</v>
      </c>
      <c r="P4" s="4">
        <f t="shared" si="0"/>
        <v>1.1659999999999999</v>
      </c>
      <c r="Q4" s="4">
        <f t="shared" si="1"/>
        <v>1.17</v>
      </c>
      <c r="R4" s="4">
        <f t="shared" si="2"/>
        <v>1.1679999999999999</v>
      </c>
    </row>
    <row r="5" spans="1:18" x14ac:dyDescent="0.3">
      <c r="A5">
        <v>4</v>
      </c>
      <c r="B5">
        <v>4</v>
      </c>
      <c r="C5">
        <v>4</v>
      </c>
      <c r="D5" t="s">
        <v>13</v>
      </c>
      <c r="E5" s="4">
        <v>2.0499999999999998</v>
      </c>
      <c r="H5">
        <f t="shared" ref="H5:H6" si="3">H4+0.25</f>
        <v>0.75</v>
      </c>
      <c r="I5">
        <v>0.22600000000000001</v>
      </c>
      <c r="J5">
        <v>0.94499999999999995</v>
      </c>
      <c r="K5">
        <v>0.23599999999999999</v>
      </c>
      <c r="L5">
        <v>0.93400000000000005</v>
      </c>
      <c r="P5" s="4">
        <f t="shared" si="0"/>
        <v>1.171</v>
      </c>
      <c r="Q5" s="4">
        <f t="shared" si="1"/>
        <v>1.17</v>
      </c>
      <c r="R5" s="4">
        <f t="shared" si="2"/>
        <v>1.1705000000000001</v>
      </c>
    </row>
    <row r="6" spans="1:18" x14ac:dyDescent="0.3">
      <c r="A6">
        <v>5</v>
      </c>
      <c r="B6">
        <v>5</v>
      </c>
      <c r="C6">
        <v>5</v>
      </c>
      <c r="D6" t="s">
        <v>14</v>
      </c>
      <c r="E6" s="4">
        <v>2.097</v>
      </c>
      <c r="H6">
        <f t="shared" si="3"/>
        <v>1</v>
      </c>
      <c r="I6">
        <v>0.22600000000000001</v>
      </c>
      <c r="J6">
        <v>0.94799999999999995</v>
      </c>
      <c r="K6">
        <v>0.23300000000000001</v>
      </c>
      <c r="L6">
        <v>0.93799999999999994</v>
      </c>
      <c r="P6" s="4">
        <f t="shared" si="0"/>
        <v>1.1739999999999999</v>
      </c>
      <c r="Q6" s="4">
        <f t="shared" si="1"/>
        <v>1.171</v>
      </c>
      <c r="R6" s="4">
        <f t="shared" si="2"/>
        <v>1.1724999999999999</v>
      </c>
    </row>
    <row r="7" spans="1:18" x14ac:dyDescent="0.3">
      <c r="A7">
        <v>11</v>
      </c>
      <c r="B7">
        <v>11</v>
      </c>
      <c r="C7" t="s">
        <v>4</v>
      </c>
      <c r="D7" s="2" t="s">
        <v>4</v>
      </c>
      <c r="H7">
        <f>H6+0.5</f>
        <v>1.5</v>
      </c>
      <c r="I7" s="4">
        <v>0.4</v>
      </c>
      <c r="J7">
        <v>0.77600000000000002</v>
      </c>
      <c r="K7">
        <v>0.41899999999999998</v>
      </c>
      <c r="L7">
        <v>0.75900000000000001</v>
      </c>
      <c r="P7" s="4">
        <f t="shared" si="0"/>
        <v>1.1760000000000002</v>
      </c>
      <c r="Q7" s="4">
        <f t="shared" si="1"/>
        <v>1.1779999999999999</v>
      </c>
      <c r="R7" s="7">
        <f t="shared" si="2"/>
        <v>1.177</v>
      </c>
    </row>
    <row r="8" spans="1:18" x14ac:dyDescent="0.3">
      <c r="A8">
        <v>6</v>
      </c>
      <c r="B8">
        <v>6</v>
      </c>
      <c r="C8">
        <v>6</v>
      </c>
      <c r="D8" t="s">
        <v>15</v>
      </c>
      <c r="E8" s="4">
        <v>2.0710000000000002</v>
      </c>
      <c r="H8">
        <f>H7+0.25</f>
        <v>1.75</v>
      </c>
      <c r="I8">
        <v>0.22700000000000001</v>
      </c>
      <c r="J8" s="4">
        <f>AVERAGE(J2:J6,J10:J12,J14:J18,J20:J24)</f>
        <v>0.9454999999999999</v>
      </c>
      <c r="K8">
        <v>0.23400000000000001</v>
      </c>
      <c r="L8">
        <v>0.93600000000000005</v>
      </c>
      <c r="P8" s="4">
        <f t="shared" si="0"/>
        <v>1.1724999999999999</v>
      </c>
      <c r="Q8" s="4">
        <f t="shared" si="1"/>
        <v>1.1700000000000002</v>
      </c>
      <c r="R8" s="4">
        <f t="shared" si="2"/>
        <v>1.1712500000000001</v>
      </c>
    </row>
    <row r="9" spans="1:18" x14ac:dyDescent="0.3">
      <c r="A9">
        <v>7</v>
      </c>
      <c r="B9">
        <v>7</v>
      </c>
      <c r="C9">
        <v>7</v>
      </c>
      <c r="D9" s="3" t="s">
        <v>16</v>
      </c>
      <c r="E9" s="4">
        <v>2.0819999999999999</v>
      </c>
      <c r="H9">
        <f t="shared" ref="H9:H12" si="4">H8+0.25</f>
        <v>2</v>
      </c>
      <c r="I9">
        <v>0.22500000000000001</v>
      </c>
      <c r="J9">
        <v>0.94499999999999995</v>
      </c>
      <c r="K9" s="4">
        <v>0.23100000000000001</v>
      </c>
      <c r="L9">
        <v>0.93799999999999994</v>
      </c>
      <c r="P9" s="4">
        <f t="shared" si="0"/>
        <v>1.17</v>
      </c>
      <c r="Q9" s="4">
        <f t="shared" si="1"/>
        <v>1.169</v>
      </c>
      <c r="R9" s="4">
        <f t="shared" si="2"/>
        <v>1.1695</v>
      </c>
    </row>
    <row r="10" spans="1:18" x14ac:dyDescent="0.3">
      <c r="A10">
        <v>8</v>
      </c>
      <c r="B10">
        <v>8</v>
      </c>
      <c r="C10">
        <v>8</v>
      </c>
      <c r="D10" t="s">
        <v>11</v>
      </c>
      <c r="E10" s="4">
        <v>2.02</v>
      </c>
      <c r="H10">
        <f t="shared" si="4"/>
        <v>2.25</v>
      </c>
      <c r="I10">
        <v>0.22600000000000001</v>
      </c>
      <c r="J10">
        <v>0.94399999999999995</v>
      </c>
      <c r="K10">
        <v>0.23300000000000001</v>
      </c>
      <c r="L10">
        <v>0.94</v>
      </c>
      <c r="P10" s="4">
        <f t="shared" si="0"/>
        <v>1.17</v>
      </c>
      <c r="Q10" s="4">
        <f t="shared" si="1"/>
        <v>1.173</v>
      </c>
      <c r="R10" s="4">
        <f t="shared" si="2"/>
        <v>1.1715</v>
      </c>
    </row>
    <row r="11" spans="1:18" x14ac:dyDescent="0.3">
      <c r="A11">
        <v>9</v>
      </c>
      <c r="B11">
        <v>9</v>
      </c>
      <c r="C11">
        <v>9</v>
      </c>
      <c r="D11" t="s">
        <v>10</v>
      </c>
      <c r="E11" s="4">
        <v>2.08</v>
      </c>
      <c r="H11">
        <f t="shared" si="4"/>
        <v>2.5</v>
      </c>
      <c r="I11">
        <v>0.22500000000000001</v>
      </c>
      <c r="J11">
        <v>0.94599999999999995</v>
      </c>
      <c r="K11">
        <v>0.23599999999999999</v>
      </c>
      <c r="L11">
        <v>0.93500000000000005</v>
      </c>
      <c r="P11" s="4">
        <f t="shared" si="0"/>
        <v>1.171</v>
      </c>
      <c r="Q11" s="4">
        <f t="shared" si="1"/>
        <v>1.171</v>
      </c>
      <c r="R11" s="4">
        <f t="shared" si="2"/>
        <v>1.171</v>
      </c>
    </row>
    <row r="12" spans="1:18" x14ac:dyDescent="0.3">
      <c r="A12">
        <v>10</v>
      </c>
      <c r="B12">
        <v>10</v>
      </c>
      <c r="C12">
        <v>10</v>
      </c>
      <c r="D12" t="s">
        <v>15</v>
      </c>
      <c r="E12" s="4">
        <v>2.0299999999999998</v>
      </c>
      <c r="H12">
        <f t="shared" si="4"/>
        <v>2.75</v>
      </c>
      <c r="I12">
        <v>0.22600000000000001</v>
      </c>
      <c r="J12">
        <v>0.94499999999999995</v>
      </c>
      <c r="K12">
        <v>0.23200000000000001</v>
      </c>
      <c r="L12">
        <v>0.93600000000000005</v>
      </c>
      <c r="P12" s="4">
        <f t="shared" si="0"/>
        <v>1.171</v>
      </c>
      <c r="Q12" s="4">
        <f t="shared" si="1"/>
        <v>1.1680000000000001</v>
      </c>
      <c r="R12" s="4">
        <f t="shared" si="2"/>
        <v>1.1695000000000002</v>
      </c>
    </row>
    <row r="13" spans="1:18" x14ac:dyDescent="0.3">
      <c r="A13">
        <v>12</v>
      </c>
      <c r="B13">
        <v>12</v>
      </c>
      <c r="C13" t="s">
        <v>4</v>
      </c>
      <c r="D13" s="2" t="s">
        <v>4</v>
      </c>
      <c r="H13">
        <f>H12+0.5</f>
        <v>3.25</v>
      </c>
      <c r="I13">
        <v>0.39800000000000002</v>
      </c>
      <c r="J13">
        <v>0.77900000000000003</v>
      </c>
      <c r="K13">
        <v>0.41599999999999998</v>
      </c>
      <c r="L13">
        <v>0.75900000000000001</v>
      </c>
      <c r="P13" s="4">
        <f t="shared" si="0"/>
        <v>1.177</v>
      </c>
      <c r="Q13" s="4">
        <f t="shared" si="1"/>
        <v>1.175</v>
      </c>
      <c r="R13" s="7">
        <f t="shared" si="2"/>
        <v>1.1760000000000002</v>
      </c>
    </row>
    <row r="14" spans="1:18" x14ac:dyDescent="0.3">
      <c r="A14">
        <v>16</v>
      </c>
      <c r="B14">
        <v>17</v>
      </c>
      <c r="C14">
        <v>11</v>
      </c>
      <c r="D14" t="s">
        <v>11</v>
      </c>
      <c r="E14" s="4">
        <v>2.0299999999999998</v>
      </c>
      <c r="H14">
        <f>H13+0.25</f>
        <v>3.5</v>
      </c>
      <c r="I14">
        <v>0.22700000000000001</v>
      </c>
      <c r="J14">
        <v>0.94199999999999995</v>
      </c>
      <c r="K14" s="4">
        <v>0.23</v>
      </c>
      <c r="L14">
        <v>0.94399999999999995</v>
      </c>
      <c r="P14" s="4">
        <f t="shared" si="0"/>
        <v>1.169</v>
      </c>
      <c r="Q14" s="4">
        <f t="shared" si="1"/>
        <v>1.1739999999999999</v>
      </c>
      <c r="R14" s="4">
        <f t="shared" si="2"/>
        <v>1.1715</v>
      </c>
    </row>
    <row r="15" spans="1:18" x14ac:dyDescent="0.3">
      <c r="A15">
        <v>16</v>
      </c>
      <c r="B15">
        <v>18</v>
      </c>
      <c r="C15">
        <v>12</v>
      </c>
      <c r="D15" t="s">
        <v>16</v>
      </c>
      <c r="E15" s="4">
        <v>2.1070000000000002</v>
      </c>
      <c r="H15">
        <f t="shared" ref="H15:H18" si="5">H14+0.25</f>
        <v>3.75</v>
      </c>
      <c r="I15">
        <v>0.22700000000000001</v>
      </c>
      <c r="J15">
        <v>0.93899999999999995</v>
      </c>
      <c r="K15">
        <v>0.23599999999999999</v>
      </c>
      <c r="L15">
        <v>0.93400000000000005</v>
      </c>
      <c r="P15" s="4">
        <f t="shared" si="0"/>
        <v>1.1659999999999999</v>
      </c>
      <c r="Q15" s="4">
        <f t="shared" si="1"/>
        <v>1.17</v>
      </c>
      <c r="R15" s="4">
        <f t="shared" si="2"/>
        <v>1.1679999999999999</v>
      </c>
    </row>
    <row r="16" spans="1:18" x14ac:dyDescent="0.3">
      <c r="A16">
        <v>16</v>
      </c>
      <c r="B16">
        <v>19</v>
      </c>
      <c r="C16">
        <v>13</v>
      </c>
      <c r="D16" t="s">
        <v>14</v>
      </c>
      <c r="E16" s="4">
        <v>2.0419999999999998</v>
      </c>
      <c r="H16">
        <f t="shared" si="5"/>
        <v>4</v>
      </c>
      <c r="I16">
        <v>0.22700000000000001</v>
      </c>
      <c r="J16">
        <v>0.94099999999999995</v>
      </c>
      <c r="K16">
        <v>0.19900000000000001</v>
      </c>
      <c r="L16">
        <v>0.97499999999999998</v>
      </c>
      <c r="P16" s="4">
        <f t="shared" si="0"/>
        <v>1.1679999999999999</v>
      </c>
      <c r="Q16" s="4">
        <f t="shared" si="1"/>
        <v>1.1739999999999999</v>
      </c>
      <c r="R16" s="4">
        <f t="shared" si="2"/>
        <v>1.1709999999999998</v>
      </c>
    </row>
    <row r="17" spans="1:18" x14ac:dyDescent="0.3">
      <c r="A17">
        <v>16</v>
      </c>
      <c r="B17">
        <v>20</v>
      </c>
      <c r="C17">
        <v>14</v>
      </c>
      <c r="D17" s="3" t="s">
        <v>12</v>
      </c>
      <c r="E17" s="4">
        <v>2.02</v>
      </c>
      <c r="H17">
        <f t="shared" si="5"/>
        <v>4.25</v>
      </c>
      <c r="I17">
        <v>0.22600000000000001</v>
      </c>
      <c r="J17">
        <v>0.94299999999999995</v>
      </c>
      <c r="K17">
        <v>0.23599999999999999</v>
      </c>
      <c r="L17">
        <v>0.93500000000000005</v>
      </c>
      <c r="P17" s="4">
        <f t="shared" si="0"/>
        <v>1.169</v>
      </c>
      <c r="Q17" s="4">
        <f t="shared" si="1"/>
        <v>1.171</v>
      </c>
      <c r="R17" s="4">
        <f t="shared" si="2"/>
        <v>1.17</v>
      </c>
    </row>
    <row r="18" spans="1:18" x14ac:dyDescent="0.3">
      <c r="A18">
        <v>16</v>
      </c>
      <c r="B18">
        <v>21</v>
      </c>
      <c r="C18">
        <v>15</v>
      </c>
      <c r="D18" t="s">
        <v>13</v>
      </c>
      <c r="E18" s="4">
        <v>2.0649999999999999</v>
      </c>
      <c r="H18">
        <f t="shared" si="5"/>
        <v>4.5</v>
      </c>
      <c r="I18">
        <v>0.22700000000000001</v>
      </c>
      <c r="J18">
        <v>0.94299999999999995</v>
      </c>
      <c r="K18">
        <v>0.23599999999999999</v>
      </c>
      <c r="L18">
        <v>0.93500000000000005</v>
      </c>
      <c r="P18" s="4">
        <f t="shared" si="0"/>
        <v>1.17</v>
      </c>
      <c r="Q18" s="4">
        <f t="shared" si="1"/>
        <v>1.171</v>
      </c>
      <c r="R18" s="4">
        <f t="shared" si="2"/>
        <v>1.1705000000000001</v>
      </c>
    </row>
    <row r="19" spans="1:18" x14ac:dyDescent="0.3">
      <c r="A19">
        <v>16</v>
      </c>
      <c r="B19">
        <v>27</v>
      </c>
      <c r="C19" t="s">
        <v>4</v>
      </c>
      <c r="D19" s="2" t="s">
        <v>4</v>
      </c>
      <c r="H19">
        <f>H18+0.5</f>
        <v>5</v>
      </c>
      <c r="I19">
        <v>0.443</v>
      </c>
      <c r="J19">
        <v>0.73399999999999999</v>
      </c>
      <c r="K19">
        <v>0.46100000000000002</v>
      </c>
      <c r="L19">
        <v>0.71599999999999997</v>
      </c>
      <c r="P19" s="4">
        <f t="shared" si="0"/>
        <v>1.177</v>
      </c>
      <c r="Q19" s="4">
        <f t="shared" si="1"/>
        <v>1.177</v>
      </c>
      <c r="R19" s="7">
        <f t="shared" si="2"/>
        <v>1.177</v>
      </c>
    </row>
    <row r="20" spans="1:18" x14ac:dyDescent="0.3">
      <c r="A20">
        <v>16</v>
      </c>
      <c r="B20">
        <v>22</v>
      </c>
      <c r="C20">
        <v>16</v>
      </c>
      <c r="D20" t="s">
        <v>15</v>
      </c>
      <c r="E20" s="4">
        <v>2.0870000000000002</v>
      </c>
      <c r="H20">
        <f>H19+0.25</f>
        <v>5.25</v>
      </c>
      <c r="I20">
        <v>0.224</v>
      </c>
      <c r="J20">
        <v>0.99399999999999999</v>
      </c>
      <c r="K20">
        <v>0.23300000000000001</v>
      </c>
      <c r="L20">
        <v>0.93799999999999994</v>
      </c>
      <c r="P20" s="4">
        <f t="shared" si="0"/>
        <v>1.218</v>
      </c>
      <c r="Q20" s="4">
        <f t="shared" si="1"/>
        <v>1.171</v>
      </c>
      <c r="R20" s="4">
        <f t="shared" si="2"/>
        <v>1.1945000000000001</v>
      </c>
    </row>
    <row r="21" spans="1:18" x14ac:dyDescent="0.3">
      <c r="A21">
        <v>16</v>
      </c>
      <c r="B21">
        <v>23</v>
      </c>
      <c r="C21">
        <v>17</v>
      </c>
      <c r="D21" t="s">
        <v>17</v>
      </c>
      <c r="E21" s="4">
        <v>2.0390000000000001</v>
      </c>
      <c r="H21">
        <f t="shared" ref="H21:H24" si="6">H20+0.25</f>
        <v>5.5</v>
      </c>
      <c r="I21">
        <v>0.22600000000000001</v>
      </c>
      <c r="J21">
        <v>0.94299999999999995</v>
      </c>
      <c r="K21">
        <v>0.23799999999999999</v>
      </c>
      <c r="L21">
        <v>0.93300000000000005</v>
      </c>
      <c r="P21" s="4">
        <f t="shared" si="0"/>
        <v>1.169</v>
      </c>
      <c r="Q21" s="4">
        <f t="shared" si="1"/>
        <v>1.171</v>
      </c>
      <c r="R21" s="4">
        <f t="shared" si="2"/>
        <v>1.17</v>
      </c>
    </row>
    <row r="22" spans="1:18" x14ac:dyDescent="0.3">
      <c r="A22">
        <v>16</v>
      </c>
      <c r="B22">
        <v>24</v>
      </c>
      <c r="C22">
        <v>18</v>
      </c>
      <c r="D22" t="s">
        <v>18</v>
      </c>
      <c r="E22" s="4">
        <v>2.09</v>
      </c>
      <c r="H22">
        <f t="shared" si="6"/>
        <v>5.75</v>
      </c>
      <c r="I22">
        <v>0.22600000000000001</v>
      </c>
      <c r="J22">
        <v>0.94099999999999995</v>
      </c>
      <c r="K22">
        <v>0.23899999999999999</v>
      </c>
      <c r="L22">
        <v>0.93100000000000005</v>
      </c>
      <c r="P22" s="4">
        <f t="shared" si="0"/>
        <v>1.167</v>
      </c>
      <c r="Q22" s="4">
        <f t="shared" si="1"/>
        <v>1.17</v>
      </c>
      <c r="R22" s="4">
        <f t="shared" si="2"/>
        <v>1.1684999999999999</v>
      </c>
    </row>
    <row r="23" spans="1:18" x14ac:dyDescent="0.3">
      <c r="A23">
        <v>16</v>
      </c>
      <c r="B23">
        <v>25</v>
      </c>
      <c r="C23">
        <v>19</v>
      </c>
      <c r="D23" t="s">
        <v>13</v>
      </c>
      <c r="E23" s="4">
        <v>2.0979999999999999</v>
      </c>
      <c r="H23">
        <f t="shared" si="6"/>
        <v>6</v>
      </c>
      <c r="I23">
        <v>0.22500000000000001</v>
      </c>
      <c r="J23">
        <v>0.94099999999999995</v>
      </c>
      <c r="K23">
        <v>0.23799999999999999</v>
      </c>
      <c r="L23">
        <v>0.93300000000000005</v>
      </c>
      <c r="P23" s="4">
        <f t="shared" si="0"/>
        <v>1.1659999999999999</v>
      </c>
      <c r="Q23" s="4">
        <f t="shared" si="1"/>
        <v>1.171</v>
      </c>
      <c r="R23" s="4">
        <f t="shared" si="2"/>
        <v>1.1684999999999999</v>
      </c>
    </row>
    <row r="24" spans="1:18" x14ac:dyDescent="0.3">
      <c r="A24">
        <v>16</v>
      </c>
      <c r="B24">
        <v>26</v>
      </c>
      <c r="C24">
        <v>20</v>
      </c>
      <c r="D24" t="s">
        <v>14</v>
      </c>
      <c r="E24" s="4">
        <v>2.0859999999999999</v>
      </c>
      <c r="H24">
        <f t="shared" si="6"/>
        <v>6.25</v>
      </c>
      <c r="I24">
        <v>0.22600000000000001</v>
      </c>
      <c r="J24">
        <v>0.94199999999999995</v>
      </c>
      <c r="K24">
        <v>0.23699999999999999</v>
      </c>
      <c r="L24">
        <v>0.93300000000000005</v>
      </c>
      <c r="P24" s="4">
        <f t="shared" si="0"/>
        <v>1.1679999999999999</v>
      </c>
      <c r="Q24" s="4">
        <f t="shared" si="1"/>
        <v>1.17</v>
      </c>
      <c r="R24" s="4">
        <f t="shared" si="2"/>
        <v>1.169</v>
      </c>
    </row>
    <row r="25" spans="1:18" x14ac:dyDescent="0.3">
      <c r="A25">
        <v>16</v>
      </c>
      <c r="B25">
        <v>28</v>
      </c>
      <c r="C25" t="s">
        <v>4</v>
      </c>
      <c r="D25" s="2" t="s">
        <v>4</v>
      </c>
      <c r="H25">
        <f>H24+0.5</f>
        <v>6.75</v>
      </c>
      <c r="I25">
        <v>0.44500000000000001</v>
      </c>
      <c r="J25">
        <v>0.73299999999999998</v>
      </c>
      <c r="K25">
        <v>0.46100000000000002</v>
      </c>
      <c r="L25">
        <v>0.71499999999999997</v>
      </c>
      <c r="P25" s="4">
        <f t="shared" si="0"/>
        <v>1.1779999999999999</v>
      </c>
      <c r="Q25" s="4">
        <f t="shared" si="1"/>
        <v>1.1759999999999999</v>
      </c>
      <c r="R25" s="7">
        <f t="shared" si="2"/>
        <v>1.177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Jar and valve id overview</vt:lpstr>
      <vt:lpstr>Picarro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2026-04-23T14:13:38Z</dcterms:modified>
</cp:coreProperties>
</file>