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"/>
    </mc:Choice>
  </mc:AlternateContent>
  <xr:revisionPtr revIDLastSave="0" documentId="13_ncr:1_{778FF9C9-7F32-4D8D-AA0D-6CE5DCEA79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N" sheetId="1" r:id="rId1"/>
    <sheet name="DM" sheetId="2" r:id="rId2"/>
    <sheet name="pH" sheetId="3" r:id="rId3"/>
    <sheet name="TAN-App-r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K3" i="4"/>
  <c r="K4" i="4"/>
  <c r="J3" i="4"/>
  <c r="J4" i="4"/>
  <c r="I3" i="4"/>
  <c r="I4" i="4"/>
  <c r="G3" i="4"/>
  <c r="G4" i="4"/>
  <c r="E3" i="4"/>
  <c r="E4" i="4"/>
  <c r="D3" i="4"/>
  <c r="D4" i="4"/>
  <c r="C5" i="4"/>
  <c r="B5" i="4"/>
  <c r="C4" i="4"/>
  <c r="B4" i="4"/>
  <c r="C3" i="4"/>
  <c r="B3" i="4"/>
  <c r="I5" i="4"/>
  <c r="G5" i="4"/>
  <c r="J5" i="4" s="1"/>
  <c r="E5" i="4"/>
  <c r="D5" i="4"/>
  <c r="K5" i="4" s="1"/>
  <c r="I2" i="4"/>
  <c r="G2" i="4"/>
  <c r="J2" i="4" s="1"/>
  <c r="E2" i="4"/>
  <c r="D2" i="4"/>
  <c r="K2" i="4" s="1"/>
  <c r="F8" i="1"/>
  <c r="G10" i="1"/>
  <c r="I10" i="2"/>
  <c r="H10" i="2"/>
  <c r="H7" i="2"/>
  <c r="I7" i="2"/>
  <c r="H4" i="2"/>
  <c r="G3" i="2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D3" i="2"/>
  <c r="D4" i="2"/>
  <c r="D5" i="2"/>
  <c r="D6" i="2"/>
  <c r="D7" i="2"/>
  <c r="D8" i="2"/>
  <c r="D9" i="2"/>
  <c r="D10" i="2"/>
  <c r="D2" i="2"/>
  <c r="L5" i="4" l="1"/>
  <c r="L2" i="4"/>
  <c r="H4" i="1"/>
  <c r="H13" i="1"/>
  <c r="H10" i="1"/>
  <c r="G13" i="1"/>
  <c r="G7" i="1"/>
  <c r="F9" i="1"/>
  <c r="F10" i="1"/>
  <c r="F11" i="1"/>
  <c r="F12" i="1"/>
  <c r="F13" i="1"/>
  <c r="F7" i="1"/>
  <c r="F6" i="1"/>
  <c r="F5" i="1"/>
  <c r="F4" i="1"/>
  <c r="F3" i="1"/>
  <c r="F2" i="1"/>
  <c r="I4" i="2" l="1"/>
  <c r="H7" i="1"/>
  <c r="G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tc={3010D286-DD46-4595-B85E-FCD64EF9B2C1}</author>
  </authors>
  <commentList>
    <comment ref="A1" authorId="0" shapeId="0" xr:uid="{3010D286-DD46-4595-B85E-FCD64EF9B2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SL = (cattle) slurry
STD = ammonum carbonat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tc={C51D159F-E2C0-41C0-887A-301B07363DDC}</author>
    <author>tc={42CB89A3-3418-4C2F-8452-3DC8C5FBE2D4}</author>
  </authors>
  <commentList>
    <comment ref="B1" authorId="0" shapeId="0" xr:uid="{C51D159F-E2C0-41C0-887A-301B07363D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day before the start of the experiment</t>
      </text>
    </comment>
    <comment ref="E1" authorId="1" shapeId="0" xr:uid="{42CB89A3-3418-4C2F-8452-3DC8C5FBE2D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key in understanding the variability I belive - the treatments aren’t stable at lab-scale</t>
      </text>
    </comment>
  </commentList>
</comments>
</file>

<file path=xl/sharedStrings.xml><?xml version="1.0" encoding="utf-8"?>
<sst xmlns="http://schemas.openxmlformats.org/spreadsheetml/2006/main" count="66" uniqueCount="52">
  <si>
    <t>ID</t>
  </si>
  <si>
    <t>m(sample) [g]</t>
  </si>
  <si>
    <t>m expected [g]</t>
  </si>
  <si>
    <t>Dilution factor [-]</t>
  </si>
  <si>
    <t>NH4-N (sample) [g/L]</t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</si>
  <si>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 xml:space="preserve">Mean </t>
    </r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</si>
  <si>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>stdev</t>
    </r>
  </si>
  <si>
    <t>m(alue) [g]</t>
  </si>
  <si>
    <t>m(wet + alue) [g]</t>
  </si>
  <si>
    <t>m(wet)</t>
  </si>
  <si>
    <t>m(dry + alue) [g]</t>
  </si>
  <si>
    <t>m(dry)</t>
  </si>
  <si>
    <t>%DM</t>
  </si>
  <si>
    <t>%DM avg</t>
  </si>
  <si>
    <t>%DM std-dev</t>
  </si>
  <si>
    <t>NH4-N (diluted) [mg/L]</t>
  </si>
  <si>
    <t>AA</t>
  </si>
  <si>
    <t>H2SO4</t>
  </si>
  <si>
    <t>RAW</t>
  </si>
  <si>
    <t>-</t>
  </si>
  <si>
    <t>pH (before acidification )</t>
  </si>
  <si>
    <t>A1</t>
  </si>
  <si>
    <t>A2</t>
  </si>
  <si>
    <t>A3</t>
  </si>
  <si>
    <t>H1</t>
  </si>
  <si>
    <t>H2</t>
  </si>
  <si>
    <t>H3</t>
  </si>
  <si>
    <t>R1</t>
  </si>
  <si>
    <t>R2</t>
  </si>
  <si>
    <t>R3</t>
  </si>
  <si>
    <t>ST1</t>
  </si>
  <si>
    <t>ST2</t>
  </si>
  <si>
    <t>ST3</t>
  </si>
  <si>
    <t>std</t>
  </si>
  <si>
    <t>pH (after experiment)</t>
  </si>
  <si>
    <t>pH (aplication)</t>
  </si>
  <si>
    <t>pH  (after acidification)</t>
  </si>
  <si>
    <t xml:space="preserve">ID </t>
  </si>
  <si>
    <r>
      <t xml:space="preserve">NH4-N [g/L] </t>
    </r>
    <r>
      <rPr>
        <b/>
        <sz val="11"/>
        <color theme="1"/>
        <rFont val="Calibri"/>
        <family val="2"/>
        <scheme val="minor"/>
      </rPr>
      <t>stdev</t>
    </r>
  </si>
  <si>
    <t>NH4-N [kg/L]</t>
  </si>
  <si>
    <t>NH4-N stdev [kg/L]</t>
  </si>
  <si>
    <t>slurry target[g or mL]</t>
  </si>
  <si>
    <t>slurry target [kg or L]</t>
  </si>
  <si>
    <t>surface area [cm2]</t>
  </si>
  <si>
    <t>surface area [ha]</t>
  </si>
  <si>
    <t>Slurry app [L / ha]</t>
  </si>
  <si>
    <t>NH4-N app mean [kg/ha]</t>
  </si>
  <si>
    <t>NH4-N app stdev [kg/ha]</t>
  </si>
  <si>
    <t>Cattle slurry untreated</t>
  </si>
  <si>
    <t>Ammonium carbonate std untreated</t>
  </si>
  <si>
    <t>Cattle slurry AA</t>
  </si>
  <si>
    <t>Cattle slurry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</si>
</sst>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FCAAED7B-F5F1-4553-9146-85CC0A69F825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2T14:16:25.16" personId="{FCAAED7B-F5F1-4553-9146-85CC0A69F825}" id="{3010D286-DD46-4595-B85E-FCD64EF9B2C1}">
    <text xml:space="preserve">SL = (cattle) slurry
STD = ammonum carbonat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4-29T09:06:30.61" personId="{FCAAED7B-F5F1-4553-9146-85CC0A69F825}" id="{C51D159F-E2C0-41C0-887A-301B07363DDC}">
    <text>The day before the start of the experiment</text>
  </threadedComment>
  <threadedComment ref="E1" dT="2026-05-06T08:01:13.85" personId="{FCAAED7B-F5F1-4553-9146-85CC0A69F825}" id="{42CB89A3-3418-4C2F-8452-3DC8C5FBE2D4}">
    <text>This is key in understanding the variability I belive - the treatments aren’t stable at lab-scale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G10" sqref="G10"/>
    </sheetView>
  </sheetViews>
  <sheetFormatPr defaultRowHeight="14.4" x14ac:dyDescent="0.3"/>
  <cols>
    <col min="2" max="2" width="13.21875" bestFit="1" customWidth="1"/>
    <col min="3" max="3" width="22.44140625" bestFit="1" customWidth="1"/>
    <col min="4" max="4" width="14" bestFit="1" customWidth="1"/>
    <col min="5" max="5" width="16" bestFit="1" customWidth="1"/>
    <col min="6" max="6" width="19.44140625" bestFit="1" customWidth="1"/>
    <col min="7" max="7" width="25.109375" bestFit="1" customWidth="1"/>
    <col min="8" max="9" width="11.109375" customWidth="1"/>
  </cols>
  <sheetData>
    <row r="1" spans="1:8" ht="43.2" x14ac:dyDescent="0.3">
      <c r="A1" t="s">
        <v>0</v>
      </c>
      <c r="B1" t="s">
        <v>1</v>
      </c>
      <c r="C1" s="4" t="s">
        <v>15</v>
      </c>
      <c r="D1" t="s">
        <v>2</v>
      </c>
      <c r="E1" t="s">
        <v>3</v>
      </c>
      <c r="F1" t="s">
        <v>4</v>
      </c>
      <c r="G1" s="4" t="s">
        <v>5</v>
      </c>
      <c r="H1" s="4" t="s">
        <v>6</v>
      </c>
    </row>
    <row r="2" spans="1:8" x14ac:dyDescent="0.3">
      <c r="A2" t="s">
        <v>21</v>
      </c>
      <c r="B2" s="1">
        <v>1.0665</v>
      </c>
      <c r="C2">
        <v>47</v>
      </c>
      <c r="D2" s="2">
        <v>1</v>
      </c>
      <c r="E2">
        <v>50</v>
      </c>
      <c r="F2" s="3">
        <f>((C2*D2*E2)/B2)/1000</f>
        <v>2.2034692920768872</v>
      </c>
    </row>
    <row r="3" spans="1:8" x14ac:dyDescent="0.3">
      <c r="A3" t="s">
        <v>22</v>
      </c>
      <c r="B3">
        <v>1.0565</v>
      </c>
      <c r="C3">
        <v>41</v>
      </c>
      <c r="D3" s="2">
        <v>1</v>
      </c>
      <c r="E3">
        <v>50</v>
      </c>
      <c r="F3" s="3">
        <f t="shared" ref="F3:F13" si="0">((C3*D3*E3)/B3)/1000</f>
        <v>1.9403691433980124</v>
      </c>
    </row>
    <row r="4" spans="1:8" x14ac:dyDescent="0.3">
      <c r="A4" t="s">
        <v>23</v>
      </c>
      <c r="B4">
        <v>1.0466</v>
      </c>
      <c r="C4">
        <v>42</v>
      </c>
      <c r="D4" s="2">
        <v>1</v>
      </c>
      <c r="E4">
        <v>50</v>
      </c>
      <c r="F4" s="3">
        <f t="shared" si="0"/>
        <v>2.006497229122874</v>
      </c>
      <c r="G4" s="3">
        <f>AVERAGE(F2:F4)</f>
        <v>2.0501118881992579</v>
      </c>
      <c r="H4" s="3">
        <f>_xlfn.STDEV.P(F2:F4)</f>
        <v>0.11175002139738323</v>
      </c>
    </row>
    <row r="5" spans="1:8" x14ac:dyDescent="0.3">
      <c r="A5" t="s">
        <v>24</v>
      </c>
      <c r="B5" s="1">
        <v>1.0857000000000001</v>
      </c>
      <c r="C5">
        <v>43</v>
      </c>
      <c r="D5" s="2">
        <v>1</v>
      </c>
      <c r="E5">
        <v>50</v>
      </c>
      <c r="F5" s="3">
        <f t="shared" si="0"/>
        <v>1.9802892143317674</v>
      </c>
    </row>
    <row r="6" spans="1:8" x14ac:dyDescent="0.3">
      <c r="A6" t="s">
        <v>25</v>
      </c>
      <c r="B6">
        <v>1.0198</v>
      </c>
      <c r="C6">
        <v>41</v>
      </c>
      <c r="D6" s="2">
        <v>1</v>
      </c>
      <c r="E6">
        <v>50</v>
      </c>
      <c r="F6" s="3">
        <f t="shared" si="0"/>
        <v>2.0101980780545206</v>
      </c>
    </row>
    <row r="7" spans="1:8" x14ac:dyDescent="0.3">
      <c r="A7" t="s">
        <v>26</v>
      </c>
      <c r="B7">
        <v>1.0714999999999999</v>
      </c>
      <c r="C7">
        <v>45</v>
      </c>
      <c r="D7" s="2">
        <v>1</v>
      </c>
      <c r="E7">
        <v>50</v>
      </c>
      <c r="F7" s="3">
        <f t="shared" si="0"/>
        <v>2.0998600093327116</v>
      </c>
      <c r="G7" s="3">
        <f>AVERAGE(F5:F7)</f>
        <v>2.0301157672396664</v>
      </c>
      <c r="H7" s="3">
        <f>_xlfn.STDEV.P(F5:F7)</f>
        <v>5.0805705133357561E-2</v>
      </c>
    </row>
    <row r="8" spans="1:8" x14ac:dyDescent="0.3">
      <c r="A8" t="s">
        <v>27</v>
      </c>
      <c r="B8">
        <v>1.0569</v>
      </c>
      <c r="C8" s="5">
        <v>40</v>
      </c>
      <c r="D8" s="2">
        <v>1</v>
      </c>
      <c r="E8">
        <v>50</v>
      </c>
      <c r="F8" s="3">
        <f>((C8*D8*E8)/B8)/1000</f>
        <v>1.8923266155738481</v>
      </c>
    </row>
    <row r="9" spans="1:8" x14ac:dyDescent="0.3">
      <c r="A9" t="s">
        <v>28</v>
      </c>
      <c r="B9">
        <v>1.0821000000000001</v>
      </c>
      <c r="C9" s="5">
        <v>41</v>
      </c>
      <c r="D9" s="2">
        <v>1</v>
      </c>
      <c r="E9">
        <v>50</v>
      </c>
      <c r="F9" s="3">
        <f t="shared" si="0"/>
        <v>1.8944644672396267</v>
      </c>
    </row>
    <row r="10" spans="1:8" x14ac:dyDescent="0.3">
      <c r="A10" t="s">
        <v>29</v>
      </c>
      <c r="B10">
        <v>1.0355000000000001</v>
      </c>
      <c r="C10" s="5">
        <v>39</v>
      </c>
      <c r="D10" s="2">
        <v>1</v>
      </c>
      <c r="E10">
        <v>50</v>
      </c>
      <c r="F10" s="3">
        <f t="shared" si="0"/>
        <v>1.883148237566393</v>
      </c>
      <c r="G10" s="3">
        <f xml:space="preserve"> AVERAGE(F8:F10)</f>
        <v>1.8899797734599559</v>
      </c>
      <c r="H10" s="3">
        <f>_xlfn.STDEV.P(F8:F10)</f>
        <v>4.9088365515667556E-3</v>
      </c>
    </row>
    <row r="11" spans="1:8" x14ac:dyDescent="0.3">
      <c r="A11" t="s">
        <v>30</v>
      </c>
      <c r="B11" s="1">
        <v>1.028</v>
      </c>
      <c r="C11" s="5">
        <v>74</v>
      </c>
      <c r="D11" s="2">
        <v>1</v>
      </c>
      <c r="E11">
        <v>50</v>
      </c>
      <c r="F11" s="3">
        <f t="shared" si="0"/>
        <v>3.5992217898832681</v>
      </c>
    </row>
    <row r="12" spans="1:8" x14ac:dyDescent="0.3">
      <c r="A12" t="s">
        <v>31</v>
      </c>
      <c r="B12">
        <v>1.0136000000000001</v>
      </c>
      <c r="C12" s="5">
        <v>77</v>
      </c>
      <c r="D12" s="2">
        <v>1</v>
      </c>
      <c r="E12">
        <v>50</v>
      </c>
      <c r="F12" s="3">
        <f t="shared" si="0"/>
        <v>3.7983425414364635</v>
      </c>
      <c r="G12" s="3"/>
    </row>
    <row r="13" spans="1:8" x14ac:dyDescent="0.3">
      <c r="A13" t="s">
        <v>32</v>
      </c>
      <c r="B13">
        <v>1.01301</v>
      </c>
      <c r="C13" s="5">
        <v>68</v>
      </c>
      <c r="D13" s="2">
        <v>1</v>
      </c>
      <c r="E13">
        <v>50</v>
      </c>
      <c r="F13" s="3">
        <f t="shared" si="0"/>
        <v>3.35633409344429</v>
      </c>
      <c r="G13" s="3">
        <f>AVERAGE(F11:F13)</f>
        <v>3.5846328082546735</v>
      </c>
      <c r="H13" s="3">
        <f>_xlfn.STDEV.P(F11:F13)</f>
        <v>0.18074382573656025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F488-66DC-4E6C-A2BD-1AE1E849C347}">
  <dimension ref="A1:I10"/>
  <sheetViews>
    <sheetView workbookViewId="0">
      <selection activeCell="H10" sqref="H10"/>
    </sheetView>
  </sheetViews>
  <sheetFormatPr defaultRowHeight="14.4" x14ac:dyDescent="0.3"/>
  <cols>
    <col min="2" max="2" width="10.5546875" bestFit="1" customWidth="1"/>
    <col min="3" max="3" width="15.77734375" bestFit="1" customWidth="1"/>
    <col min="5" max="5" width="15.21875" bestFit="1" customWidth="1"/>
  </cols>
  <sheetData>
    <row r="1" spans="1:9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21</v>
      </c>
      <c r="B2">
        <v>3.7749999999999999</v>
      </c>
      <c r="C2">
        <v>33.933</v>
      </c>
      <c r="D2">
        <f>C2-B2</f>
        <v>30.158000000000001</v>
      </c>
      <c r="E2">
        <v>5.8949999999999996</v>
      </c>
      <c r="F2">
        <f>E2-B2</f>
        <v>2.1199999999999997</v>
      </c>
      <c r="G2" s="2">
        <f>(F2/D2)*100</f>
        <v>7.0296438755885653</v>
      </c>
    </row>
    <row r="3" spans="1:9" x14ac:dyDescent="0.3">
      <c r="A3" t="s">
        <v>22</v>
      </c>
      <c r="B3">
        <v>3.7650000000000001</v>
      </c>
      <c r="C3">
        <v>50.375999999999998</v>
      </c>
      <c r="D3">
        <f t="shared" ref="D3:D10" si="0">C3-B3</f>
        <v>46.610999999999997</v>
      </c>
      <c r="E3" s="2">
        <v>7.0960000000000001</v>
      </c>
      <c r="F3">
        <f t="shared" ref="F3:F10" si="1">E3-B3</f>
        <v>3.331</v>
      </c>
      <c r="G3" s="2">
        <f t="shared" ref="G3:G10" si="2">(F3/D3)*100</f>
        <v>7.1463817553796316</v>
      </c>
    </row>
    <row r="4" spans="1:9" x14ac:dyDescent="0.3">
      <c r="A4" t="s">
        <v>23</v>
      </c>
      <c r="B4" s="2">
        <v>3.75</v>
      </c>
      <c r="C4" s="2">
        <v>49.814</v>
      </c>
      <c r="D4">
        <f t="shared" si="0"/>
        <v>46.064</v>
      </c>
      <c r="E4">
        <v>6.9790000000000001</v>
      </c>
      <c r="F4">
        <f t="shared" si="1"/>
        <v>3.2290000000000001</v>
      </c>
      <c r="G4" s="2">
        <f t="shared" si="2"/>
        <v>7.0098124348732194</v>
      </c>
      <c r="H4" s="3">
        <f>AVERAGE(G2:G4)</f>
        <v>7.0619460219471391</v>
      </c>
      <c r="I4" s="3">
        <f>_xlfn.STDEV.P(G2:G4)</f>
        <v>6.0251507977940898E-2</v>
      </c>
    </row>
    <row r="5" spans="1:9" x14ac:dyDescent="0.3">
      <c r="A5" t="s">
        <v>24</v>
      </c>
      <c r="B5">
        <v>3.7749999999999999</v>
      </c>
      <c r="C5">
        <v>33.896999999999998</v>
      </c>
      <c r="D5">
        <f t="shared" si="0"/>
        <v>30.122</v>
      </c>
      <c r="E5">
        <v>5.9059999999999997</v>
      </c>
      <c r="F5">
        <f t="shared" si="1"/>
        <v>2.1309999999999998</v>
      </c>
      <c r="G5" s="2">
        <f t="shared" si="2"/>
        <v>7.0745634420025221</v>
      </c>
    </row>
    <row r="6" spans="1:9" x14ac:dyDescent="0.3">
      <c r="A6" t="s">
        <v>25</v>
      </c>
      <c r="B6">
        <v>3.7650000000000001</v>
      </c>
      <c r="C6">
        <v>52.609000000000002</v>
      </c>
      <c r="D6">
        <f t="shared" si="0"/>
        <v>48.844000000000001</v>
      </c>
      <c r="E6" s="2">
        <v>7.2380000000000004</v>
      </c>
      <c r="F6">
        <f t="shared" si="1"/>
        <v>3.4730000000000003</v>
      </c>
      <c r="G6" s="2">
        <f t="shared" si="2"/>
        <v>7.1103922692654171</v>
      </c>
    </row>
    <row r="7" spans="1:9" x14ac:dyDescent="0.3">
      <c r="A7" t="s">
        <v>26</v>
      </c>
      <c r="B7">
        <v>3.7629999999999999</v>
      </c>
      <c r="C7">
        <v>41.021000000000001</v>
      </c>
      <c r="D7">
        <f t="shared" si="0"/>
        <v>37.258000000000003</v>
      </c>
      <c r="E7">
        <v>6.3810000000000002</v>
      </c>
      <c r="F7">
        <f t="shared" si="1"/>
        <v>2.6180000000000003</v>
      </c>
      <c r="G7" s="2">
        <f t="shared" si="2"/>
        <v>7.026678834075903</v>
      </c>
      <c r="H7" s="3">
        <f>AVERAGE(G5:G7)</f>
        <v>7.0705448484479474</v>
      </c>
      <c r="I7" s="3">
        <f>_xlfn.STDEV.P(G5:G7)</f>
        <v>3.4293795633465997E-2</v>
      </c>
    </row>
    <row r="8" spans="1:9" x14ac:dyDescent="0.3">
      <c r="A8" t="s">
        <v>27</v>
      </c>
      <c r="B8" s="2">
        <v>3.7530000000000001</v>
      </c>
      <c r="C8">
        <v>51.755000000000003</v>
      </c>
      <c r="D8">
        <f t="shared" si="0"/>
        <v>48.002000000000002</v>
      </c>
      <c r="E8">
        <v>7.0279999999999996</v>
      </c>
      <c r="F8">
        <f t="shared" si="1"/>
        <v>3.2749999999999995</v>
      </c>
      <c r="G8" s="2">
        <f t="shared" si="2"/>
        <v>6.822632390317068</v>
      </c>
    </row>
    <row r="9" spans="1:9" x14ac:dyDescent="0.3">
      <c r="A9" t="s">
        <v>28</v>
      </c>
      <c r="B9">
        <v>3.7490000000000001</v>
      </c>
      <c r="C9">
        <v>53.470999999999997</v>
      </c>
      <c r="D9">
        <f t="shared" si="0"/>
        <v>49.721999999999994</v>
      </c>
      <c r="E9">
        <v>7.2009999999999996</v>
      </c>
      <c r="F9">
        <f t="shared" si="1"/>
        <v>3.4519999999999995</v>
      </c>
      <c r="G9" s="2">
        <f t="shared" si="2"/>
        <v>6.9426008607859702</v>
      </c>
    </row>
    <row r="10" spans="1:9" x14ac:dyDescent="0.3">
      <c r="A10" t="s">
        <v>29</v>
      </c>
      <c r="B10">
        <v>3.75</v>
      </c>
      <c r="C10">
        <v>61.173000000000002</v>
      </c>
      <c r="D10">
        <f t="shared" si="0"/>
        <v>57.423000000000002</v>
      </c>
      <c r="E10">
        <v>7.8159999999999998</v>
      </c>
      <c r="F10">
        <f t="shared" si="1"/>
        <v>4.0659999999999998</v>
      </c>
      <c r="G10" s="2">
        <f t="shared" si="2"/>
        <v>7.080786444456054</v>
      </c>
      <c r="H10" s="3">
        <f>AVERAGE(G8:G10)</f>
        <v>6.9486732318530313</v>
      </c>
      <c r="I10" s="3">
        <f>_xlfn.STDEV.P(G8:G10)</f>
        <v>0.10547838383568037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C4CF-8B0E-4339-95DF-2A3FBC1AB6CD}">
  <dimension ref="A1:F5"/>
  <sheetViews>
    <sheetView workbookViewId="0">
      <selection activeCell="E9" sqref="E9"/>
    </sheetView>
  </sheetViews>
  <sheetFormatPr defaultRowHeight="14.4" x14ac:dyDescent="0.3"/>
  <cols>
    <col min="2" max="4" width="13.33203125" customWidth="1"/>
    <col min="5" max="5" width="11.77734375" bestFit="1" customWidth="1"/>
  </cols>
  <sheetData>
    <row r="1" spans="1:6" ht="57.6" x14ac:dyDescent="0.3">
      <c r="A1" t="s">
        <v>0</v>
      </c>
      <c r="B1" s="4" t="s">
        <v>20</v>
      </c>
      <c r="C1" s="4" t="s">
        <v>36</v>
      </c>
      <c r="D1" s="4" t="s">
        <v>35</v>
      </c>
      <c r="E1" s="4" t="s">
        <v>34</v>
      </c>
      <c r="F1" s="4"/>
    </row>
    <row r="2" spans="1:6" x14ac:dyDescent="0.3">
      <c r="A2" t="s">
        <v>16</v>
      </c>
      <c r="B2" s="3">
        <v>7.3</v>
      </c>
      <c r="C2">
        <v>6.69</v>
      </c>
      <c r="D2">
        <v>6.79</v>
      </c>
      <c r="E2">
        <v>7.46</v>
      </c>
    </row>
    <row r="3" spans="1:6" x14ac:dyDescent="0.3">
      <c r="A3" t="s">
        <v>17</v>
      </c>
      <c r="B3">
        <v>7.26</v>
      </c>
      <c r="C3">
        <v>6.71</v>
      </c>
      <c r="D3">
        <v>6.63</v>
      </c>
      <c r="E3">
        <v>6.89</v>
      </c>
    </row>
    <row r="4" spans="1:6" x14ac:dyDescent="0.3">
      <c r="A4" t="s">
        <v>18</v>
      </c>
      <c r="B4">
        <v>7.33</v>
      </c>
      <c r="C4" t="s">
        <v>19</v>
      </c>
      <c r="D4" s="3">
        <v>7.3</v>
      </c>
      <c r="E4">
        <v>7.56</v>
      </c>
    </row>
    <row r="5" spans="1:6" x14ac:dyDescent="0.3">
      <c r="A5" t="s">
        <v>33</v>
      </c>
      <c r="B5" t="s">
        <v>19</v>
      </c>
      <c r="C5" t="s">
        <v>19</v>
      </c>
      <c r="D5">
        <v>8.31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8351-1B9D-4453-B268-552ADCB91111}">
  <dimension ref="A1:L5"/>
  <sheetViews>
    <sheetView tabSelected="1" workbookViewId="0">
      <selection sqref="A1:L5"/>
    </sheetView>
  </sheetViews>
  <sheetFormatPr defaultRowHeight="14.4" x14ac:dyDescent="0.3"/>
  <cols>
    <col min="1" max="1" width="31" bestFit="1" customWidth="1"/>
    <col min="3" max="3" width="16" bestFit="1" customWidth="1"/>
    <col min="4" max="4" width="11.77734375" bestFit="1" customWidth="1"/>
    <col min="5" max="5" width="16.6640625" bestFit="1" customWidth="1"/>
    <col min="7" max="7" width="18.109375" bestFit="1" customWidth="1"/>
    <col min="8" max="8" width="16.44140625" bestFit="1" customWidth="1"/>
    <col min="9" max="9" width="15" bestFit="1" customWidth="1"/>
    <col min="11" max="11" width="21.6640625" bestFit="1" customWidth="1"/>
    <col min="12" max="12" width="21.44140625" bestFit="1" customWidth="1"/>
  </cols>
  <sheetData>
    <row r="1" spans="1:12" ht="57.6" x14ac:dyDescent="0.3">
      <c r="A1" t="s">
        <v>37</v>
      </c>
      <c r="B1" s="4" t="s">
        <v>5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3">
      <c r="A2" t="s">
        <v>48</v>
      </c>
      <c r="B2" s="3">
        <v>1.89</v>
      </c>
      <c r="C2">
        <v>0</v>
      </c>
      <c r="D2" s="1">
        <f>B2*10^-3</f>
        <v>1.89E-3</v>
      </c>
      <c r="E2">
        <f>C2*10^-3</f>
        <v>0</v>
      </c>
      <c r="F2" s="6">
        <v>2</v>
      </c>
      <c r="G2">
        <f>F2*10^-3</f>
        <v>2E-3</v>
      </c>
      <c r="H2">
        <v>28.27</v>
      </c>
      <c r="I2">
        <f>H2*10^-8</f>
        <v>2.8270000000000001E-7</v>
      </c>
      <c r="J2" s="5">
        <f>G2/I2</f>
        <v>7074.6374248319771</v>
      </c>
      <c r="K2" s="6">
        <f>D2*J2</f>
        <v>13.371064732932437</v>
      </c>
      <c r="L2" s="6">
        <f>J2*E2</f>
        <v>0</v>
      </c>
    </row>
    <row r="3" spans="1:12" x14ac:dyDescent="0.3">
      <c r="A3" t="s">
        <v>50</v>
      </c>
      <c r="B3" s="3">
        <f>TAN!G4</f>
        <v>2.0501118881992579</v>
      </c>
      <c r="C3" s="3">
        <f>TAN!H4</f>
        <v>0.11175002139738323</v>
      </c>
      <c r="D3" s="1">
        <f t="shared" ref="D3:D4" si="0">B3*10^-3</f>
        <v>2.0501118881992579E-3</v>
      </c>
      <c r="E3">
        <f t="shared" ref="E3:E4" si="1">C3*10^-3</f>
        <v>1.1175002139738323E-4</v>
      </c>
      <c r="F3" s="6">
        <v>2</v>
      </c>
      <c r="G3">
        <f t="shared" ref="G3:G4" si="2">F3*10^-3</f>
        <v>2E-3</v>
      </c>
      <c r="H3">
        <v>28.27</v>
      </c>
      <c r="I3">
        <f t="shared" ref="I3:I4" si="3">H3*10^-8</f>
        <v>2.8270000000000001E-7</v>
      </c>
      <c r="J3" s="5">
        <f t="shared" ref="J3:J4" si="4">G3/I3</f>
        <v>7074.6374248319771</v>
      </c>
      <c r="K3" s="6">
        <f t="shared" ref="K3:K4" si="5">D3*J3</f>
        <v>14.50379828934742</v>
      </c>
      <c r="L3" s="6">
        <f t="shared" ref="L3:L4" si="6">J3*E3</f>
        <v>0.79059088360370167</v>
      </c>
    </row>
    <row r="4" spans="1:12" x14ac:dyDescent="0.3">
      <c r="A4" t="s">
        <v>51</v>
      </c>
      <c r="B4" s="3">
        <f>TAN!G7</f>
        <v>2.0301157672396664</v>
      </c>
      <c r="C4" s="3">
        <f>TAN!H7</f>
        <v>5.0805705133357561E-2</v>
      </c>
      <c r="D4" s="1">
        <f t="shared" si="0"/>
        <v>2.0301157672396662E-3</v>
      </c>
      <c r="E4">
        <f t="shared" si="1"/>
        <v>5.0805705133357559E-5</v>
      </c>
      <c r="F4" s="6">
        <v>2</v>
      </c>
      <c r="G4">
        <f t="shared" si="2"/>
        <v>2E-3</v>
      </c>
      <c r="H4">
        <v>28.27</v>
      </c>
      <c r="I4">
        <f t="shared" si="3"/>
        <v>2.8270000000000001E-7</v>
      </c>
      <c r="J4" s="5">
        <f t="shared" si="4"/>
        <v>7074.6374248319771</v>
      </c>
      <c r="K4" s="6">
        <f t="shared" si="5"/>
        <v>14.362332983655225</v>
      </c>
      <c r="L4" s="6">
        <f t="shared" si="6"/>
        <v>0.35943194293142949</v>
      </c>
    </row>
    <row r="5" spans="1:12" x14ac:dyDescent="0.3">
      <c r="A5" t="s">
        <v>49</v>
      </c>
      <c r="B5" s="3">
        <f>TAN!G13</f>
        <v>3.5846328082546735</v>
      </c>
      <c r="C5" s="3">
        <f>TAN!H13</f>
        <v>0.18074382573656025</v>
      </c>
      <c r="D5" s="1">
        <f>B5*10^-3</f>
        <v>3.5846328082546736E-3</v>
      </c>
      <c r="E5">
        <f>C5*10^-3</f>
        <v>1.8074382573656026E-4</v>
      </c>
      <c r="F5" s="6">
        <v>2</v>
      </c>
      <c r="G5">
        <f>F5*10^-3</f>
        <v>2E-3</v>
      </c>
      <c r="H5">
        <v>28.27</v>
      </c>
      <c r="I5">
        <f>H5*10^-8</f>
        <v>2.8270000000000001E-7</v>
      </c>
      <c r="J5" s="5">
        <f>G5/I5</f>
        <v>7074.6374248319771</v>
      </c>
      <c r="K5" s="6">
        <f>D5*J5</f>
        <v>25.359977419559062</v>
      </c>
      <c r="L5" s="6">
        <f>J5*E5</f>
        <v>1.2786970338631782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TAN</vt:lpstr>
      <vt:lpstr>DM</vt:lpstr>
      <vt:lpstr>pH</vt:lpstr>
      <vt:lpstr>TAN-App-rate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2026-05-25T14:03:12Z</dcterms:modified>
</cp:coreProperties>
</file>