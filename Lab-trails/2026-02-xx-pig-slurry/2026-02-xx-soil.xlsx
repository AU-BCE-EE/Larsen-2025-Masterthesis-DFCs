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xx-pig-slurry\"/>
    </mc:Choice>
  </mc:AlternateContent>
  <xr:revisionPtr revIDLastSave="0" documentId="13_ncr:1_{6CE07F79-A748-43B7-B568-ED8EE127D5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eld Water content" sheetId="1" r:id="rId1"/>
    <sheet name="Packed so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L2" i="2"/>
  <c r="K2" i="2"/>
  <c r="D6" i="2"/>
  <c r="D5" i="2"/>
  <c r="D2" i="2"/>
  <c r="G2" i="2"/>
  <c r="I2" i="2" s="1"/>
  <c r="F2" i="2"/>
  <c r="H2" i="2" s="1"/>
  <c r="A12" i="2"/>
  <c r="A11" i="2"/>
  <c r="H5" i="1"/>
  <c r="H6" i="1"/>
  <c r="H7" i="1"/>
  <c r="H3" i="1"/>
  <c r="H4" i="1"/>
  <c r="H2" i="1"/>
  <c r="G3" i="1" l="1"/>
  <c r="G4" i="1"/>
  <c r="G5" i="1"/>
  <c r="G6" i="1"/>
  <c r="G7" i="1"/>
  <c r="G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<sst xmlns="http://schemas.openxmlformats.org/spreadsheetml/2006/main" count="29" uniqueCount="25">
  <si>
    <t>ID</t>
  </si>
  <si>
    <t>F1</t>
  </si>
  <si>
    <t>F2</t>
  </si>
  <si>
    <t>F3</t>
  </si>
  <si>
    <t>MZ1</t>
  </si>
  <si>
    <t>MZ2</t>
  </si>
  <si>
    <t>MZ3</t>
  </si>
  <si>
    <t>m(alue + wet) [g]</t>
  </si>
  <si>
    <t>m(alue) [g]</t>
  </si>
  <si>
    <t>m(wet) [g]</t>
  </si>
  <si>
    <t>m(dry) [g]</t>
  </si>
  <si>
    <t>m(water) [g]</t>
  </si>
  <si>
    <t>water content [g/g]</t>
  </si>
  <si>
    <t>avg</t>
  </si>
  <si>
    <t>Sample volume [cm3]</t>
  </si>
  <si>
    <t xml:space="preserve"> soil to add [g]</t>
  </si>
  <si>
    <t>Per stamp [g]</t>
  </si>
  <si>
    <t>Field soil dry bulk density [g/cm3]</t>
  </si>
  <si>
    <t>Field water content</t>
  </si>
  <si>
    <t>Packed water conent</t>
  </si>
  <si>
    <t>water in soil [g]</t>
  </si>
  <si>
    <t>stdev</t>
  </si>
  <si>
    <t>deviation [g]</t>
  </si>
  <si>
    <t>Wanted amount [g]</t>
  </si>
  <si>
    <t>Water to add -total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</si>
</sst>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Fon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J1" sqref="J1"/>
    </sheetView>
  </sheetViews>
  <sheetFormatPr defaultRowHeight="14.4" x14ac:dyDescent="0.3"/>
  <cols>
    <col min="1" max="1" width="10.33203125" bestFit="1" customWidth="1"/>
    <col min="3" max="3" width="9.77734375" bestFit="1" customWidth="1"/>
    <col min="4" max="4" width="14.88671875" bestFit="1" customWidth="1"/>
    <col min="5" max="5" width="9.44140625" bestFit="1" customWidth="1"/>
    <col min="7" max="7" width="11.109375" bestFit="1" customWidth="1"/>
    <col min="8" max="8" width="17" bestFit="1" customWidth="1"/>
  </cols>
  <sheetData>
    <row r="1" spans="1:8" x14ac:dyDescent="0.3">
      <c r="A1" s="1">
        <v>45690</v>
      </c>
      <c r="B1" t="s">
        <v>0</v>
      </c>
      <c r="C1" t="s">
        <v>8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B2" t="s">
        <v>1</v>
      </c>
      <c r="C2">
        <v>4.3019999999999996</v>
      </c>
      <c r="D2">
        <v>158.69800000000001</v>
      </c>
      <c r="E2">
        <f>D2-C2</f>
        <v>154.39600000000002</v>
      </c>
      <c r="F2" s="3">
        <v>129.72</v>
      </c>
      <c r="G2" s="3">
        <f>E2-F2</f>
        <v>24.676000000000016</v>
      </c>
      <c r="H2" s="2">
        <f>G2/F2</f>
        <v>0.19022510021584965</v>
      </c>
    </row>
    <row r="3" spans="1:8" x14ac:dyDescent="0.3">
      <c r="B3" t="s">
        <v>2</v>
      </c>
      <c r="C3">
        <v>4.306</v>
      </c>
      <c r="D3">
        <v>119.036</v>
      </c>
      <c r="E3">
        <f t="shared" ref="E3:E7" si="0">D3-C3</f>
        <v>114.73</v>
      </c>
      <c r="F3">
        <v>96.484999999999999</v>
      </c>
      <c r="G3" s="3">
        <f t="shared" ref="G3:G7" si="1">E3-F3</f>
        <v>18.245000000000005</v>
      </c>
      <c r="H3" s="2">
        <f t="shared" ref="H3:H7" si="2">G3/F3</f>
        <v>0.18909675079027832</v>
      </c>
    </row>
    <row r="4" spans="1:8" x14ac:dyDescent="0.3">
      <c r="B4" t="s">
        <v>3</v>
      </c>
      <c r="C4">
        <v>4.2939999999999996</v>
      </c>
      <c r="D4">
        <v>160.36600000000001</v>
      </c>
      <c r="E4">
        <f t="shared" si="0"/>
        <v>156.072</v>
      </c>
      <c r="F4">
        <v>130.989</v>
      </c>
      <c r="G4" s="3">
        <f t="shared" si="1"/>
        <v>25.082999999999998</v>
      </c>
      <c r="H4" s="2">
        <f t="shared" si="2"/>
        <v>0.19148936170212763</v>
      </c>
    </row>
    <row r="5" spans="1:8" x14ac:dyDescent="0.3">
      <c r="B5" t="s">
        <v>4</v>
      </c>
      <c r="C5">
        <v>4.2859999999999996</v>
      </c>
      <c r="D5">
        <v>91.911000000000001</v>
      </c>
      <c r="E5">
        <f t="shared" si="0"/>
        <v>87.625</v>
      </c>
      <c r="F5">
        <v>78.049000000000007</v>
      </c>
      <c r="G5" s="3">
        <f t="shared" si="1"/>
        <v>9.5759999999999934</v>
      </c>
      <c r="H5" s="2">
        <f>G5/F5</f>
        <v>0.12269215492831417</v>
      </c>
    </row>
    <row r="6" spans="1:8" x14ac:dyDescent="0.3">
      <c r="B6" t="s">
        <v>5</v>
      </c>
      <c r="C6">
        <v>4.2880000000000003</v>
      </c>
      <c r="D6">
        <v>79.843999999999994</v>
      </c>
      <c r="E6">
        <f t="shared" si="0"/>
        <v>75.555999999999997</v>
      </c>
      <c r="F6" s="3">
        <v>67.78</v>
      </c>
      <c r="G6" s="3">
        <f t="shared" si="1"/>
        <v>7.7759999999999962</v>
      </c>
      <c r="H6" s="2">
        <f t="shared" si="2"/>
        <v>0.11472410740631449</v>
      </c>
    </row>
    <row r="7" spans="1:8" x14ac:dyDescent="0.3">
      <c r="B7" t="s">
        <v>6</v>
      </c>
      <c r="C7" s="3">
        <v>4.3</v>
      </c>
      <c r="D7" s="3">
        <v>77.099999999999994</v>
      </c>
      <c r="E7">
        <f t="shared" si="0"/>
        <v>72.8</v>
      </c>
      <c r="F7">
        <v>65.539000000000001</v>
      </c>
      <c r="G7" s="3">
        <f t="shared" si="1"/>
        <v>7.2609999999999957</v>
      </c>
      <c r="H7" s="2">
        <f t="shared" si="2"/>
        <v>0.11078899586505737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C2BC-C758-4D2D-A4D6-AC3B43D64F90}">
  <dimension ref="A1:N12"/>
  <sheetViews>
    <sheetView tabSelected="1" workbookViewId="0">
      <selection activeCell="D12" sqref="D12"/>
    </sheetView>
  </sheetViews>
  <sheetFormatPr defaultRowHeight="14.4" x14ac:dyDescent="0.3"/>
  <cols>
    <col min="1" max="1" width="28.33203125" bestFit="1" customWidth="1"/>
    <col min="2" max="2" width="18.77734375" bestFit="1" customWidth="1"/>
    <col min="3" max="3" width="16.88671875" bestFit="1" customWidth="1"/>
    <col min="4" max="4" width="18.77734375" bestFit="1" customWidth="1"/>
    <col min="5" max="5" width="14.21875" bestFit="1" customWidth="1"/>
    <col min="6" max="6" width="12.5546875" bestFit="1" customWidth="1"/>
    <col min="7" max="8" width="11.77734375" bestFit="1" customWidth="1"/>
    <col min="9" max="9" width="12" bestFit="1" customWidth="1"/>
    <col min="10" max="11" width="14.21875" bestFit="1" customWidth="1"/>
    <col min="12" max="12" width="17" bestFit="1" customWidth="1"/>
    <col min="13" max="13" width="19.6640625" bestFit="1" customWidth="1"/>
    <col min="14" max="14" width="11.77734375" bestFit="1" customWidth="1"/>
  </cols>
  <sheetData>
    <row r="1" spans="1:14" x14ac:dyDescent="0.3">
      <c r="A1" t="s">
        <v>17</v>
      </c>
      <c r="B1" s="5" t="s">
        <v>14</v>
      </c>
      <c r="C1" t="s">
        <v>18</v>
      </c>
      <c r="D1" t="s">
        <v>19</v>
      </c>
      <c r="F1" t="s">
        <v>15</v>
      </c>
      <c r="G1" t="s">
        <v>22</v>
      </c>
      <c r="H1" s="7" t="s">
        <v>16</v>
      </c>
      <c r="I1" t="s">
        <v>22</v>
      </c>
      <c r="K1" t="s">
        <v>20</v>
      </c>
      <c r="L1" t="s">
        <v>23</v>
      </c>
      <c r="M1" t="s">
        <v>24</v>
      </c>
      <c r="N1" s="7" t="s">
        <v>16</v>
      </c>
    </row>
    <row r="2" spans="1:14" x14ac:dyDescent="0.3">
      <c r="A2" s="4">
        <v>1.56</v>
      </c>
      <c r="B2">
        <v>100</v>
      </c>
      <c r="C2">
        <v>0.19</v>
      </c>
      <c r="D2">
        <f>0.12</f>
        <v>0.12</v>
      </c>
      <c r="F2">
        <f>A11*B2</f>
        <v>146</v>
      </c>
      <c r="G2" s="6">
        <f>A12*B2</f>
        <v>8.0553639823963845</v>
      </c>
      <c r="H2" s="8">
        <f>F2/4</f>
        <v>36.5</v>
      </c>
      <c r="I2" s="2">
        <f>G2/4</f>
        <v>2.0138409955990961</v>
      </c>
      <c r="K2">
        <f>D5*F2</f>
        <v>16.546666666666667</v>
      </c>
      <c r="L2">
        <f>F2*C4</f>
        <v>27.740000000000002</v>
      </c>
      <c r="M2">
        <f>L2-K2</f>
        <v>11.193333333333335</v>
      </c>
      <c r="N2" s="8">
        <f>M2/4</f>
        <v>2.7983333333333338</v>
      </c>
    </row>
    <row r="3" spans="1:14" x14ac:dyDescent="0.3">
      <c r="A3" s="4">
        <v>1.45</v>
      </c>
      <c r="C3">
        <v>0.19</v>
      </c>
      <c r="D3">
        <v>0.11</v>
      </c>
    </row>
    <row r="4" spans="1:14" x14ac:dyDescent="0.3">
      <c r="A4" s="4">
        <v>1.44</v>
      </c>
      <c r="C4">
        <v>0.19</v>
      </c>
      <c r="D4">
        <v>0.11</v>
      </c>
    </row>
    <row r="5" spans="1:14" x14ac:dyDescent="0.3">
      <c r="A5" s="4">
        <v>1.47</v>
      </c>
      <c r="D5" s="2">
        <f>AVERAGE(D2:D4)</f>
        <v>0.11333333333333333</v>
      </c>
      <c r="E5" t="s">
        <v>13</v>
      </c>
    </row>
    <row r="6" spans="1:14" x14ac:dyDescent="0.3">
      <c r="A6" s="4">
        <v>1.31</v>
      </c>
      <c r="D6" s="3">
        <f>_xlfn.STDEV.P(D2:D4)</f>
        <v>4.714045207910314E-3</v>
      </c>
      <c r="E6" t="s">
        <v>21</v>
      </c>
    </row>
    <row r="7" spans="1:14" x14ac:dyDescent="0.3">
      <c r="A7" s="4">
        <v>1.39</v>
      </c>
    </row>
    <row r="8" spans="1:14" x14ac:dyDescent="0.3">
      <c r="A8" s="4">
        <v>1.44</v>
      </c>
    </row>
    <row r="9" spans="1:14" x14ac:dyDescent="0.3">
      <c r="A9" s="4">
        <v>1.6</v>
      </c>
    </row>
    <row r="10" spans="1:14" x14ac:dyDescent="0.3">
      <c r="A10" s="4">
        <v>1.48</v>
      </c>
    </row>
    <row r="11" spans="1:14" x14ac:dyDescent="0.3">
      <c r="A11" s="2">
        <f>AVERAGE(A2:A10)</f>
        <v>1.46</v>
      </c>
      <c r="B11" t="s">
        <v>13</v>
      </c>
    </row>
    <row r="12" spans="1:14" x14ac:dyDescent="0.3">
      <c r="A12" s="2">
        <f>_xlfn.STDEV.P(A2:A10)</f>
        <v>8.0553639823963838E-2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Water content</vt:lpstr>
      <vt:lpstr>Packed soils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2026-02-17T09:36:41Z</dcterms:modified>
</cp:coreProperties>
</file>