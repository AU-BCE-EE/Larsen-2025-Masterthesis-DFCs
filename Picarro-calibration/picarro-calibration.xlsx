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Picarro-calibration\"/>
    </mc:Choice>
  </mc:AlternateContent>
  <xr:revisionPtr revIDLastSave="0" documentId="13_ncr:1_{331508D4-48A2-467A-BE62-2EA5F79FCA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1" sheetId="1" r:id="rId1"/>
  </sheets>
  <definedNames>
    <definedName name="solver_adj" localSheetId="0" hidden="1">'Ark1'!$D$2:$D$6</definedName>
    <definedName name="solver_cvg" localSheetId="0" hidden="1">"""""""""""""""0,0001"""""""""""""""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'Ark1'!$B$2:$B$5</definedName>
    <definedName name="solver_lhs2" localSheetId="0" hidden="1">'Ark1'!$D$2:$D$5</definedName>
    <definedName name="solver_mip" localSheetId="0" hidden="1">2147483647</definedName>
    <definedName name="solver_mni" localSheetId="0" hidden="1">30</definedName>
    <definedName name="solver_mrt" localSheetId="0" hidden="1">"""""""""""""""0,075"""""""""""""""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'Ark1'!$E$8</definedName>
    <definedName name="solver_pre" localSheetId="0" hidden="1">"""""""""""""""0,000001"""""""""""""""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hs1" localSheetId="0" hidden="1">1</definedName>
    <definedName name="solver_rhs2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1</definedName>
    <definedName name="solver_typ" localSheetId="0" hidden="1">3</definedName>
    <definedName name="solver_val" localSheetId="0" hidden="1">88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E2" i="1" s="1"/>
  <c r="B3" i="1"/>
  <c r="E3" i="1" s="1"/>
  <c r="B4" i="1"/>
  <c r="E4" i="1" s="1"/>
  <c r="B5" i="1"/>
  <c r="E5" i="1" s="1"/>
  <c r="Q3" i="1"/>
  <c r="E6" i="1"/>
  <c r="M4" i="1"/>
  <c r="M5" i="1"/>
  <c r="M3" i="1"/>
  <c r="F6" i="1"/>
</calcChain>
</file>

<file path=xl/sharedStrings.xml><?xml version="1.0" encoding="utf-8"?>
<sst xmlns="http://schemas.openxmlformats.org/spreadsheetml/2006/main" count="19" uniqueCount="18">
  <si>
    <t>MFC#</t>
  </si>
  <si>
    <t>Expected NH3 meas (PPB)</t>
  </si>
  <si>
    <t>Q NH3 [L/min]</t>
  </si>
  <si>
    <t>Q air [L/min]</t>
  </si>
  <si>
    <t>Actual  NH3 meas (PPB)</t>
  </si>
  <si>
    <t>start</t>
  </si>
  <si>
    <t>stop</t>
  </si>
  <si>
    <t>Comment</t>
  </si>
  <si>
    <t>Undiluted</t>
  </si>
  <si>
    <t>-</t>
  </si>
  <si>
    <t>Mf options</t>
  </si>
  <si>
    <t>#</t>
  </si>
  <si>
    <t>min [L/min]</t>
  </si>
  <si>
    <t>max [L/min]</t>
  </si>
  <si>
    <t>Qtot &gt;= 2.2 [L/min]</t>
  </si>
  <si>
    <t>Qtot</t>
  </si>
  <si>
    <t>PPB(source)</t>
  </si>
  <si>
    <t>Q(air) = Q(NH3) * ((PPBsource / PPBmix) -1 )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</si>
</sst>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>
      <selection activeCell="D7" sqref="D7"/>
    </sheetView>
  </sheetViews>
  <sheetFormatPr defaultRowHeight="14.4" x14ac:dyDescent="0.3"/>
  <cols>
    <col min="2" max="2" width="13.77734375" bestFit="1" customWidth="1"/>
    <col min="4" max="4" width="15.21875" bestFit="1" customWidth="1"/>
    <col min="5" max="5" width="21.77734375" bestFit="1" customWidth="1"/>
    <col min="6" max="6" width="22.21875" bestFit="1" customWidth="1"/>
    <col min="7" max="7" width="20.21875" bestFit="1" customWidth="1"/>
    <col min="11" max="11" width="9.88671875" bestFit="1" customWidth="1"/>
    <col min="12" max="12" width="10.44140625" bestFit="1" customWidth="1"/>
    <col min="13" max="14" width="10.88671875" bestFit="1" customWidth="1"/>
    <col min="16" max="16" width="10.44140625" customWidth="1"/>
  </cols>
  <sheetData>
    <row r="1" spans="1:17" x14ac:dyDescent="0.3">
      <c r="A1" t="s">
        <v>0</v>
      </c>
      <c r="B1" t="s">
        <v>3</v>
      </c>
      <c r="C1" t="s">
        <v>0</v>
      </c>
      <c r="D1" t="s">
        <v>2</v>
      </c>
      <c r="E1" t="s">
        <v>15</v>
      </c>
      <c r="F1" t="s">
        <v>1</v>
      </c>
      <c r="G1" t="s">
        <v>4</v>
      </c>
      <c r="H1" t="s">
        <v>5</v>
      </c>
      <c r="I1" t="s">
        <v>6</v>
      </c>
      <c r="J1" t="s">
        <v>7</v>
      </c>
      <c r="L1" t="s">
        <v>10</v>
      </c>
      <c r="P1" t="s">
        <v>14</v>
      </c>
    </row>
    <row r="2" spans="1:17" x14ac:dyDescent="0.3">
      <c r="A2">
        <v>3</v>
      </c>
      <c r="B2">
        <f>D2*(($Q$3/F2)-1)</f>
        <v>4.99</v>
      </c>
      <c r="C2">
        <v>1</v>
      </c>
      <c r="D2">
        <v>0.01</v>
      </c>
      <c r="E2">
        <f>B2+D2</f>
        <v>5</v>
      </c>
      <c r="F2">
        <v>20</v>
      </c>
      <c r="L2" t="s">
        <v>11</v>
      </c>
      <c r="M2" t="s">
        <v>12</v>
      </c>
      <c r="N2" t="s">
        <v>13</v>
      </c>
    </row>
    <row r="3" spans="1:17" x14ac:dyDescent="0.3">
      <c r="A3">
        <v>3</v>
      </c>
      <c r="B3">
        <f t="shared" ref="B3:B5" si="0">D3*(($Q$3/F3)-1)</f>
        <v>2.85</v>
      </c>
      <c r="C3">
        <v>2</v>
      </c>
      <c r="D3">
        <v>0.15</v>
      </c>
      <c r="E3">
        <f t="shared" ref="E3:E7" si="1">B3+D3</f>
        <v>3</v>
      </c>
      <c r="F3">
        <v>500</v>
      </c>
      <c r="L3">
        <v>1</v>
      </c>
      <c r="M3">
        <f>N3/10</f>
        <v>0.01</v>
      </c>
      <c r="N3">
        <v>0.1</v>
      </c>
      <c r="P3" t="s">
        <v>16</v>
      </c>
      <c r="Q3">
        <f>10^4</f>
        <v>10000</v>
      </c>
    </row>
    <row r="4" spans="1:17" x14ac:dyDescent="0.3">
      <c r="A4">
        <v>3</v>
      </c>
      <c r="B4" s="1">
        <f t="shared" si="0"/>
        <v>2.8333333333333335</v>
      </c>
      <c r="C4">
        <v>2</v>
      </c>
      <c r="D4">
        <v>0.5</v>
      </c>
      <c r="E4" s="2">
        <f t="shared" si="1"/>
        <v>3.3333333333333335</v>
      </c>
      <c r="F4">
        <v>1500</v>
      </c>
      <c r="L4">
        <v>2</v>
      </c>
      <c r="M4">
        <f t="shared" ref="M4:M5" si="2">N4/10</f>
        <v>0.1</v>
      </c>
      <c r="N4">
        <v>1</v>
      </c>
    </row>
    <row r="5" spans="1:17" x14ac:dyDescent="0.3">
      <c r="A5">
        <v>3</v>
      </c>
      <c r="B5">
        <f t="shared" si="0"/>
        <v>2.4</v>
      </c>
      <c r="C5">
        <v>2</v>
      </c>
      <c r="D5">
        <v>0.6</v>
      </c>
      <c r="E5">
        <f t="shared" si="1"/>
        <v>3</v>
      </c>
      <c r="F5">
        <v>2000</v>
      </c>
      <c r="L5">
        <v>3</v>
      </c>
      <c r="M5">
        <f t="shared" si="2"/>
        <v>1</v>
      </c>
      <c r="N5">
        <v>10</v>
      </c>
      <c r="P5" t="s">
        <v>17</v>
      </c>
    </row>
    <row r="6" spans="1:17" x14ac:dyDescent="0.3">
      <c r="A6" t="s">
        <v>9</v>
      </c>
      <c r="B6">
        <v>0</v>
      </c>
      <c r="C6">
        <v>3</v>
      </c>
      <c r="D6">
        <v>2.2000000000000002</v>
      </c>
      <c r="E6">
        <f t="shared" si="1"/>
        <v>2.2000000000000002</v>
      </c>
      <c r="F6">
        <f>10^4</f>
        <v>10000</v>
      </c>
      <c r="J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2025-12-01T10:28:53Z</dcterms:modified>
</cp:coreProperties>
</file>