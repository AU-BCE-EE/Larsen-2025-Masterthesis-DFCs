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05323_uni_au_dk/Documents/10 semester - Speciale/Fall Experiments/Inital Lab slurry acidification/"/>
    </mc:Choice>
  </mc:AlternateContent>
  <xr:revisionPtr revIDLastSave="547" documentId="8_{D9274755-AFEA-4DBC-9957-53127FFA7C31}" xr6:coauthVersionLast="47" xr6:coauthVersionMax="47" xr10:uidLastSave="{8ECD27BA-DB36-4313-966D-B80B5417CE97}"/>
  <bookViews>
    <workbookView minimized="1" xWindow="5568" yWindow="3708" windowWidth="17280" windowHeight="8880" firstSheet="1" activeTab="3" xr2:uid="{2F083AA8-BBE2-4BF8-AF3E-93F9DADB7C04}"/>
  </bookViews>
  <sheets>
    <sheet name="Graphs" sheetId="7" r:id="rId1"/>
    <sheet name="H2SO4 Cattle" sheetId="1" r:id="rId2"/>
    <sheet name="H2SO4 Pig" sheetId="2" r:id="rId3"/>
    <sheet name="Acetic acid cattle " sheetId="3" r:id="rId4"/>
    <sheet name="Acetic acid pig" sheetId="4" r:id="rId5"/>
    <sheet name="Mix cattle" sheetId="5" r:id="rId6"/>
    <sheet name="Mix pig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D5" i="2"/>
  <c r="E3" i="2"/>
  <c r="E4" i="2"/>
  <c r="E5" i="2"/>
  <c r="E6" i="2"/>
  <c r="E7" i="2"/>
  <c r="E8" i="2"/>
  <c r="E9" i="2"/>
  <c r="E10" i="2"/>
  <c r="E11" i="2"/>
  <c r="E12" i="2"/>
  <c r="E13" i="2"/>
  <c r="E14" i="2"/>
  <c r="E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4"/>
  <c r="C4" i="4" s="1"/>
  <c r="D2" i="3"/>
  <c r="C4" i="3" s="1"/>
  <c r="C3" i="3"/>
  <c r="C5" i="3"/>
  <c r="C8" i="3"/>
  <c r="C10" i="3"/>
  <c r="C11" i="3"/>
  <c r="C12" i="3"/>
  <c r="C13" i="3"/>
  <c r="C15" i="3"/>
  <c r="C16" i="3"/>
  <c r="C18" i="3"/>
  <c r="C19" i="3"/>
  <c r="C20" i="3"/>
  <c r="C21" i="3"/>
  <c r="C23" i="3"/>
  <c r="C24" i="3"/>
  <c r="C26" i="3"/>
  <c r="C27" i="3"/>
  <c r="C28" i="3"/>
  <c r="C29" i="3"/>
  <c r="C31" i="3"/>
  <c r="C32" i="3"/>
  <c r="C2" i="3"/>
  <c r="C3" i="4"/>
  <c r="C9" i="4"/>
  <c r="C11" i="4"/>
  <c r="C14" i="4"/>
  <c r="C17" i="4"/>
  <c r="C19" i="4"/>
  <c r="C24" i="4"/>
  <c r="C25" i="4"/>
  <c r="C27" i="4"/>
  <c r="D3" i="2"/>
  <c r="D4" i="2"/>
  <c r="D6" i="2"/>
  <c r="D10" i="2"/>
  <c r="D11" i="2"/>
  <c r="D12" i="2"/>
  <c r="D13" i="2"/>
  <c r="D14" i="2"/>
  <c r="C3" i="2"/>
  <c r="C4" i="2"/>
  <c r="C5" i="2"/>
  <c r="C6" i="2"/>
  <c r="C7" i="2"/>
  <c r="D7" i="2" s="1"/>
  <c r="C8" i="2"/>
  <c r="D8" i="2" s="1"/>
  <c r="C9" i="2"/>
  <c r="D9" i="2" s="1"/>
  <c r="C10" i="2"/>
  <c r="C11" i="2"/>
  <c r="C12" i="2"/>
  <c r="C13" i="2"/>
  <c r="C14" i="2"/>
  <c r="C2" i="2"/>
  <c r="D2" i="2" s="1"/>
  <c r="H3" i="2"/>
  <c r="H4" i="1"/>
  <c r="C3" i="1"/>
  <c r="E3" i="1" s="1"/>
  <c r="C4" i="1"/>
  <c r="E4" i="1" s="1"/>
  <c r="C5" i="1"/>
  <c r="E5" i="1" s="1"/>
  <c r="C6" i="1"/>
  <c r="C7" i="1"/>
  <c r="C8" i="1"/>
  <c r="C9" i="1"/>
  <c r="C10" i="1"/>
  <c r="E10" i="1" s="1"/>
  <c r="C11" i="1"/>
  <c r="C12" i="1"/>
  <c r="E12" i="1" s="1"/>
  <c r="C13" i="1"/>
  <c r="E13" i="1" s="1"/>
  <c r="C14" i="1"/>
  <c r="C15" i="1"/>
  <c r="C16" i="1"/>
  <c r="C17" i="1"/>
  <c r="C18" i="1"/>
  <c r="E18" i="1" s="1"/>
  <c r="C19" i="1"/>
  <c r="C20" i="1"/>
  <c r="E20" i="1" s="1"/>
  <c r="C21" i="1"/>
  <c r="E21" i="1" s="1"/>
  <c r="C22" i="1"/>
  <c r="C2" i="1"/>
  <c r="E22" i="1" l="1"/>
  <c r="E14" i="1"/>
  <c r="E6" i="1"/>
  <c r="E11" i="1"/>
  <c r="E17" i="1"/>
  <c r="E8" i="1"/>
  <c r="E9" i="1"/>
  <c r="E7" i="1"/>
  <c r="E15" i="1"/>
  <c r="E19" i="1"/>
  <c r="E16" i="1"/>
  <c r="C26" i="4"/>
  <c r="C18" i="4"/>
  <c r="C10" i="4"/>
  <c r="C16" i="4"/>
  <c r="C8" i="4"/>
  <c r="C23" i="4"/>
  <c r="C15" i="4"/>
  <c r="C7" i="4"/>
  <c r="C6" i="4"/>
  <c r="C22" i="4"/>
  <c r="C21" i="4"/>
  <c r="C13" i="4"/>
  <c r="C5" i="4"/>
  <c r="C2" i="4"/>
  <c r="C20" i="4"/>
  <c r="C33" i="3"/>
  <c r="C25" i="3"/>
  <c r="C17" i="3"/>
  <c r="C9" i="3"/>
  <c r="C7" i="3"/>
  <c r="C30" i="3"/>
  <c r="C22" i="3"/>
  <c r="C14" i="3"/>
  <c r="C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Mikael Løvig Larsen</author>
  </authors>
  <commentList>
    <comment ref="G2" authorId="0" shapeId="0" xr:uid="{A6D85300-54B6-4AC0-897A-000A35E6F1D8}">
      <text>
        <r>
          <rPr>
            <b/>
            <sz val="9"/>
            <color indexed="81"/>
            <rFont val="Tahoma"/>
            <family val="2"/>
          </rPr>
          <t>Mikael Løvig Larsen:</t>
        </r>
        <r>
          <rPr>
            <sz val="9"/>
            <color indexed="81"/>
            <rFont val="Tahoma"/>
            <family val="2"/>
          </rPr>
          <t xml:space="preserve">
https://wissen.science-and-fun.de/chemistry/chemistry/density-tables/density-of-sulfuric-acid-and-sulfur-trioxide/
</t>
        </r>
      </text>
    </comment>
  </commentList>
</comments>
</file>

<file path=xl/sharedStrings.xml><?xml version="1.0" encoding="utf-8"?>
<sst xmlns="http://schemas.openxmlformats.org/spreadsheetml/2006/main" count="85" uniqueCount="24">
  <si>
    <t>v acid [mL]</t>
  </si>
  <si>
    <t>pH</t>
  </si>
  <si>
    <t>m acid(95%) [kg]</t>
  </si>
  <si>
    <t>v acid (96 %) [mL]</t>
  </si>
  <si>
    <t>m(acid) / m(slurry) [kg/ton]</t>
  </si>
  <si>
    <t>v(acid) / m(slurry) [L / ton]</t>
  </si>
  <si>
    <t>Constants</t>
  </si>
  <si>
    <r>
      <rPr>
        <sz val="11"/>
        <color theme="1"/>
        <rFont val="Aptos Narrow"/>
        <family val="2"/>
      </rPr>
      <t>ρ(96 wt% H2SO4, T = 20</t>
    </r>
    <r>
      <rPr>
        <sz val="11"/>
        <color theme="1"/>
        <rFont val="Aptos Narrow"/>
        <family val="2"/>
        <scheme val="minor"/>
      </rPr>
      <t xml:space="preserve"> degc) [g/mL]</t>
    </r>
  </si>
  <si>
    <r>
      <rPr>
        <sz val="11"/>
        <color theme="1"/>
        <rFont val="Aptos Narrow"/>
        <family val="2"/>
      </rPr>
      <t>ρ(95 wt% H2SO4, T = 20</t>
    </r>
    <r>
      <rPr>
        <sz val="11"/>
        <color theme="1"/>
        <rFont val="Aptos Narrow"/>
        <family val="2"/>
        <scheme val="minor"/>
      </rPr>
      <t xml:space="preserve"> degc) [g/mL]</t>
    </r>
  </si>
  <si>
    <t>m slurry [ton]</t>
  </si>
  <si>
    <t>m acid [kg]</t>
  </si>
  <si>
    <t>m acid / m slurry [kg / ton]</t>
  </si>
  <si>
    <t>V(acid) / m(slurry) [L/ton]</t>
  </si>
  <si>
    <t>v(acid) / m(slurry) [L/kg]</t>
  </si>
  <si>
    <t>m(slurry) [ton]</t>
  </si>
  <si>
    <t>Comments</t>
  </si>
  <si>
    <t>not stired correctly, 2 magnets</t>
  </si>
  <si>
    <t>v(acid) / m(slurry) [L/ton]</t>
  </si>
  <si>
    <t>m_slurry [ton]</t>
  </si>
  <si>
    <t>v acic [mL]</t>
  </si>
  <si>
    <t>Type</t>
  </si>
  <si>
    <t>H2SO4</t>
  </si>
  <si>
    <t>AA</t>
  </si>
  <si>
    <t xml:space="preserve">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</si>
</sst>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"/>
    <numFmt numFmtId="166" formatCode="0.0000000"/>
    <numFmt numFmtId="167" formatCode="#,##0.00000"/>
  </numFmts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rgb="FF4A474B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4" fontId="4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166" fontId="0" fillId="0" borderId="0" xfId="0" applyNumberFormat="1"/>
    <xf numFmtId="2" fontId="0" fillId="0" borderId="0" xfId="0" applyNumberFormat="1"/>
    <xf numFmtId="167" fontId="4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0152625020485"/>
          <c:y val="5.9539734222589298E-2"/>
          <c:w val="0.86055527555062195"/>
          <c:h val="0.73347219342465975"/>
        </c:manualLayout>
      </c:layout>
      <c:scatterChart>
        <c:scatterStyle val="lineMarker"/>
        <c:varyColors val="0"/>
        <c:ser>
          <c:idx val="0"/>
          <c:order val="0"/>
          <c:tx>
            <c:v>H2SO4 Cattle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'H2SO4 Cattle'!$A$2:$A$22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 formatCode="0.00">
                  <c:v>2</c:v>
                </c:pt>
              </c:numCache>
            </c:numRef>
          </c:xVal>
          <c:yVal>
            <c:numRef>
              <c:f>'H2SO4 Cattle'!$B$2:$B$22</c:f>
              <c:numCache>
                <c:formatCode>General</c:formatCode>
                <c:ptCount val="21"/>
                <c:pt idx="0">
                  <c:v>6.89</c:v>
                </c:pt>
                <c:pt idx="1">
                  <c:v>6.83</c:v>
                </c:pt>
                <c:pt idx="2">
                  <c:v>6.67</c:v>
                </c:pt>
                <c:pt idx="3">
                  <c:v>6.49</c:v>
                </c:pt>
                <c:pt idx="4">
                  <c:v>6.41</c:v>
                </c:pt>
                <c:pt idx="5">
                  <c:v>6.38</c:v>
                </c:pt>
                <c:pt idx="6">
                  <c:v>6.32</c:v>
                </c:pt>
                <c:pt idx="7">
                  <c:v>6.26</c:v>
                </c:pt>
                <c:pt idx="8">
                  <c:v>6.24</c:v>
                </c:pt>
                <c:pt idx="9">
                  <c:v>6.19</c:v>
                </c:pt>
                <c:pt idx="10">
                  <c:v>6.13</c:v>
                </c:pt>
                <c:pt idx="11">
                  <c:v>6.01</c:v>
                </c:pt>
                <c:pt idx="12">
                  <c:v>5.94</c:v>
                </c:pt>
                <c:pt idx="13">
                  <c:v>5.81</c:v>
                </c:pt>
                <c:pt idx="14">
                  <c:v>5.7</c:v>
                </c:pt>
                <c:pt idx="15">
                  <c:v>5.64</c:v>
                </c:pt>
                <c:pt idx="16">
                  <c:v>5.47</c:v>
                </c:pt>
                <c:pt idx="17">
                  <c:v>5.34</c:v>
                </c:pt>
                <c:pt idx="18">
                  <c:v>5.12</c:v>
                </c:pt>
                <c:pt idx="19">
                  <c:v>5.01</c:v>
                </c:pt>
                <c:pt idx="20">
                  <c:v>4.8600000000000003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6B-4B2C-B744-7A7C9961E6B8}"/>
            </c:ext>
          </c:extLst>
        </c:ser>
        <c:ser>
          <c:idx val="1"/>
          <c:order val="1"/>
          <c:tx>
            <c:v>Acetic acid Cattle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'Acetic acid cattle '!$A$2:$A$33</c:f>
              <c:numCache>
                <c:formatCode>General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</c:numCache>
            </c:numRef>
          </c:xVal>
          <c:yVal>
            <c:numRef>
              <c:f>'Acetic acid cattle '!$B$2:$B$33</c:f>
              <c:numCache>
                <c:formatCode>General</c:formatCode>
                <c:ptCount val="32"/>
                <c:pt idx="0">
                  <c:v>6.89</c:v>
                </c:pt>
                <c:pt idx="1">
                  <c:v>6.76</c:v>
                </c:pt>
                <c:pt idx="2">
                  <c:v>6.66</c:v>
                </c:pt>
                <c:pt idx="3">
                  <c:v>6.58</c:v>
                </c:pt>
                <c:pt idx="4">
                  <c:v>6.5</c:v>
                </c:pt>
                <c:pt idx="5">
                  <c:v>6.45</c:v>
                </c:pt>
                <c:pt idx="6">
                  <c:v>6.39</c:v>
                </c:pt>
                <c:pt idx="7">
                  <c:v>6.34</c:v>
                </c:pt>
                <c:pt idx="8">
                  <c:v>6.29</c:v>
                </c:pt>
                <c:pt idx="9">
                  <c:v>6.2</c:v>
                </c:pt>
                <c:pt idx="10">
                  <c:v>6.22</c:v>
                </c:pt>
                <c:pt idx="11">
                  <c:v>6.18</c:v>
                </c:pt>
                <c:pt idx="12">
                  <c:v>6.15</c:v>
                </c:pt>
                <c:pt idx="13">
                  <c:v>6.1</c:v>
                </c:pt>
                <c:pt idx="14">
                  <c:v>6.08</c:v>
                </c:pt>
                <c:pt idx="15">
                  <c:v>6.05</c:v>
                </c:pt>
                <c:pt idx="16">
                  <c:v>6.03</c:v>
                </c:pt>
                <c:pt idx="17">
                  <c:v>6</c:v>
                </c:pt>
                <c:pt idx="18">
                  <c:v>5.96</c:v>
                </c:pt>
                <c:pt idx="19">
                  <c:v>5.89</c:v>
                </c:pt>
                <c:pt idx="20">
                  <c:v>5.83</c:v>
                </c:pt>
                <c:pt idx="21">
                  <c:v>5.76</c:v>
                </c:pt>
                <c:pt idx="22">
                  <c:v>5.71</c:v>
                </c:pt>
                <c:pt idx="23">
                  <c:v>5.66</c:v>
                </c:pt>
                <c:pt idx="24">
                  <c:v>5.61</c:v>
                </c:pt>
                <c:pt idx="25">
                  <c:v>5.57</c:v>
                </c:pt>
                <c:pt idx="26">
                  <c:v>5.48</c:v>
                </c:pt>
                <c:pt idx="27">
                  <c:v>5.43</c:v>
                </c:pt>
                <c:pt idx="28">
                  <c:v>5.37</c:v>
                </c:pt>
                <c:pt idx="29">
                  <c:v>5.26</c:v>
                </c:pt>
                <c:pt idx="30">
                  <c:v>5.21</c:v>
                </c:pt>
                <c:pt idx="31">
                  <c:v>5.18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6B-4B2C-B744-7A7C9961E6B8}"/>
            </c:ext>
          </c:extLst>
        </c:ser>
        <c:ser>
          <c:idx val="2"/>
          <c:order val="2"/>
          <c:tx>
            <c:v>1:1 V:V mix Cattle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'Mix cattle'!$A$2:$A$28</c:f>
              <c:numCache>
                <c:formatCode>General</c:formatCode>
                <c:ptCount val="2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</c:numCache>
            </c:numRef>
          </c:xVal>
          <c:yVal>
            <c:numRef>
              <c:f>'Mix cattle'!$B$2:$B$28</c:f>
              <c:numCache>
                <c:formatCode>General</c:formatCode>
                <c:ptCount val="27"/>
                <c:pt idx="0">
                  <c:v>6.82</c:v>
                </c:pt>
                <c:pt idx="1">
                  <c:v>6.64</c:v>
                </c:pt>
                <c:pt idx="2">
                  <c:v>6.53</c:v>
                </c:pt>
                <c:pt idx="3">
                  <c:v>6.46</c:v>
                </c:pt>
                <c:pt idx="4">
                  <c:v>6.36</c:v>
                </c:pt>
                <c:pt idx="5">
                  <c:v>6.35</c:v>
                </c:pt>
                <c:pt idx="6">
                  <c:v>6.32</c:v>
                </c:pt>
                <c:pt idx="7">
                  <c:v>6.25</c:v>
                </c:pt>
                <c:pt idx="8">
                  <c:v>6.22</c:v>
                </c:pt>
                <c:pt idx="9">
                  <c:v>6.2</c:v>
                </c:pt>
                <c:pt idx="10">
                  <c:v>6.1</c:v>
                </c:pt>
                <c:pt idx="11">
                  <c:v>6.1</c:v>
                </c:pt>
                <c:pt idx="12">
                  <c:v>6.08</c:v>
                </c:pt>
                <c:pt idx="13">
                  <c:v>6.03</c:v>
                </c:pt>
                <c:pt idx="14">
                  <c:v>5.95</c:v>
                </c:pt>
                <c:pt idx="15">
                  <c:v>5.96</c:v>
                </c:pt>
                <c:pt idx="16">
                  <c:v>5.96</c:v>
                </c:pt>
                <c:pt idx="17">
                  <c:v>5.81</c:v>
                </c:pt>
                <c:pt idx="18">
                  <c:v>5.8</c:v>
                </c:pt>
                <c:pt idx="19">
                  <c:v>5.73</c:v>
                </c:pt>
                <c:pt idx="20">
                  <c:v>5.62</c:v>
                </c:pt>
                <c:pt idx="21">
                  <c:v>5.52</c:v>
                </c:pt>
                <c:pt idx="22">
                  <c:v>5.4</c:v>
                </c:pt>
                <c:pt idx="23">
                  <c:v>5.25</c:v>
                </c:pt>
                <c:pt idx="24">
                  <c:v>5.16</c:v>
                </c:pt>
                <c:pt idx="25">
                  <c:v>5.09</c:v>
                </c:pt>
                <c:pt idx="26">
                  <c:v>4.91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6B-4B2C-B744-7A7C9961E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398352"/>
        <c:axId val="509398832"/>
      </c:scatterChart>
      <c:valAx>
        <c:axId val="509398352"/>
        <c:scaling>
          <c:orientation val="minMax"/>
          <c:max val="3.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1400" b="1" i="0" baseline="0">
                    <a:solidFill>
                      <a:sysClr val="windowText" lastClr="000000"/>
                    </a:solidFill>
                  </a:rPr>
                  <a:t>V acid [mL]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09398832"/>
        <c:crosses val="autoZero"/>
        <c:crossBetween val="midCat"/>
        <c:majorUnit val="0.2"/>
      </c:valAx>
      <c:valAx>
        <c:axId val="509398832"/>
        <c:scaling>
          <c:orientation val="minMax"/>
          <c:max val="7"/>
          <c:min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1400" b="1" i="0" baseline="0">
                    <a:solidFill>
                      <a:sysClr val="windowText" lastClr="000000"/>
                    </a:solidFill>
                  </a:rPr>
                  <a:t>pH [au]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093983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41202880580817"/>
          <c:y val="3.4056715339493109E-2"/>
          <c:w val="0.21288020976664079"/>
          <c:h val="0.315516337264033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381799778191986E-2"/>
          <c:y val="4.3066475464322344E-2"/>
          <c:w val="0.88581123431895714"/>
          <c:h val="0.80754311957703639"/>
        </c:manualLayout>
      </c:layout>
      <c:scatterChart>
        <c:scatterStyle val="lineMarker"/>
        <c:varyColors val="0"/>
        <c:ser>
          <c:idx val="0"/>
          <c:order val="0"/>
          <c:tx>
            <c:v>H2SO4 pig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'H2SO4 Pig'!$A$2:$A$14</c:f>
              <c:numCache>
                <c:formatCode>General</c:formatCode>
                <c:ptCount val="1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</c:numCache>
            </c:numRef>
          </c:xVal>
          <c:yVal>
            <c:numRef>
              <c:f>'H2SO4 Pig'!$B$2:$B$14</c:f>
              <c:numCache>
                <c:formatCode>General</c:formatCode>
                <c:ptCount val="13"/>
                <c:pt idx="0">
                  <c:v>6.55</c:v>
                </c:pt>
                <c:pt idx="1">
                  <c:v>6.33</c:v>
                </c:pt>
                <c:pt idx="2">
                  <c:v>6.15</c:v>
                </c:pt>
                <c:pt idx="3">
                  <c:v>6.01</c:v>
                </c:pt>
                <c:pt idx="4">
                  <c:v>5.85</c:v>
                </c:pt>
                <c:pt idx="5">
                  <c:v>5.74</c:v>
                </c:pt>
                <c:pt idx="6">
                  <c:v>5.61</c:v>
                </c:pt>
                <c:pt idx="7">
                  <c:v>5.49</c:v>
                </c:pt>
                <c:pt idx="8">
                  <c:v>5.38</c:v>
                </c:pt>
                <c:pt idx="9">
                  <c:v>5.27</c:v>
                </c:pt>
                <c:pt idx="10">
                  <c:v>5.17</c:v>
                </c:pt>
                <c:pt idx="11">
                  <c:v>5.09</c:v>
                </c:pt>
                <c:pt idx="12">
                  <c:v>5.01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4-4624-BC07-64179699C876}"/>
            </c:ext>
          </c:extLst>
        </c:ser>
        <c:ser>
          <c:idx val="1"/>
          <c:order val="1"/>
          <c:tx>
            <c:v>Acetic acid pig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'Acetic acid pig'!$A$2:$A$27</c:f>
              <c:numCache>
                <c:formatCode>General</c:formatCode>
                <c:ptCount val="2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</c:numCache>
            </c:numRef>
          </c:xVal>
          <c:yVal>
            <c:numRef>
              <c:f>'Acetic acid pig'!$B$2:$B$27</c:f>
              <c:numCache>
                <c:formatCode>General</c:formatCode>
                <c:ptCount val="26"/>
                <c:pt idx="0">
                  <c:v>6.56</c:v>
                </c:pt>
                <c:pt idx="1">
                  <c:v>6.43</c:v>
                </c:pt>
                <c:pt idx="2">
                  <c:v>6.32</c:v>
                </c:pt>
                <c:pt idx="3">
                  <c:v>6.24</c:v>
                </c:pt>
                <c:pt idx="4">
                  <c:v>6.16</c:v>
                </c:pt>
                <c:pt idx="5">
                  <c:v>6.09</c:v>
                </c:pt>
                <c:pt idx="6">
                  <c:v>6.03</c:v>
                </c:pt>
                <c:pt idx="7">
                  <c:v>5.99</c:v>
                </c:pt>
                <c:pt idx="8">
                  <c:v>5.93</c:v>
                </c:pt>
                <c:pt idx="9">
                  <c:v>5.89</c:v>
                </c:pt>
                <c:pt idx="10">
                  <c:v>5.85</c:v>
                </c:pt>
                <c:pt idx="11">
                  <c:v>5.8</c:v>
                </c:pt>
                <c:pt idx="12">
                  <c:v>5.74</c:v>
                </c:pt>
                <c:pt idx="13">
                  <c:v>5.71</c:v>
                </c:pt>
                <c:pt idx="14">
                  <c:v>5.67</c:v>
                </c:pt>
                <c:pt idx="15">
                  <c:v>5.61</c:v>
                </c:pt>
                <c:pt idx="16">
                  <c:v>5.56</c:v>
                </c:pt>
                <c:pt idx="17" formatCode="0.00">
                  <c:v>5.5</c:v>
                </c:pt>
                <c:pt idx="18">
                  <c:v>5.46</c:v>
                </c:pt>
                <c:pt idx="19">
                  <c:v>5.42</c:v>
                </c:pt>
                <c:pt idx="20">
                  <c:v>5.38</c:v>
                </c:pt>
                <c:pt idx="21">
                  <c:v>5.35</c:v>
                </c:pt>
                <c:pt idx="22">
                  <c:v>5.32</c:v>
                </c:pt>
                <c:pt idx="23">
                  <c:v>5.29</c:v>
                </c:pt>
                <c:pt idx="24">
                  <c:v>5.26</c:v>
                </c:pt>
                <c:pt idx="25">
                  <c:v>5.23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34-4624-BC07-64179699C876}"/>
            </c:ext>
          </c:extLst>
        </c:ser>
        <c:ser>
          <c:idx val="2"/>
          <c:order val="2"/>
          <c:tx>
            <c:v>1:1 V:V mix pig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'Mix pig'!$A$2:$A$18</c:f>
              <c:numCache>
                <c:formatCode>General</c:formatCode>
                <c:ptCount val="1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</c:numCache>
            </c:numRef>
          </c:xVal>
          <c:yVal>
            <c:numRef>
              <c:f>'Mix pig'!$B$2:$B$18</c:f>
              <c:numCache>
                <c:formatCode>General</c:formatCode>
                <c:ptCount val="17"/>
                <c:pt idx="0">
                  <c:v>6.56</c:v>
                </c:pt>
                <c:pt idx="1">
                  <c:v>6.3</c:v>
                </c:pt>
                <c:pt idx="2">
                  <c:v>6.1</c:v>
                </c:pt>
                <c:pt idx="3">
                  <c:v>5.94</c:v>
                </c:pt>
                <c:pt idx="4">
                  <c:v>5.81</c:v>
                </c:pt>
                <c:pt idx="5">
                  <c:v>5.68</c:v>
                </c:pt>
                <c:pt idx="6">
                  <c:v>5.55</c:v>
                </c:pt>
                <c:pt idx="7">
                  <c:v>5.51</c:v>
                </c:pt>
                <c:pt idx="8">
                  <c:v>5.47</c:v>
                </c:pt>
                <c:pt idx="9">
                  <c:v>5.43</c:v>
                </c:pt>
                <c:pt idx="10">
                  <c:v>5.39</c:v>
                </c:pt>
                <c:pt idx="11">
                  <c:v>5.36</c:v>
                </c:pt>
                <c:pt idx="12">
                  <c:v>5.31</c:v>
                </c:pt>
                <c:pt idx="13">
                  <c:v>5.25</c:v>
                </c:pt>
                <c:pt idx="14">
                  <c:v>5.23</c:v>
                </c:pt>
                <c:pt idx="15">
                  <c:v>5.17</c:v>
                </c:pt>
                <c:pt idx="16">
                  <c:v>5.15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34-4624-BC07-64179699C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274704"/>
        <c:axId val="1237021088"/>
      </c:scatterChart>
      <c:valAx>
        <c:axId val="860274704"/>
        <c:scaling>
          <c:orientation val="minMax"/>
          <c:max val="3.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1400" b="1" i="0" baseline="0">
                    <a:solidFill>
                      <a:schemeClr val="tx1"/>
                    </a:solidFill>
                  </a:rPr>
                  <a:t>v acid [mL]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37021088"/>
        <c:crosses val="autoZero"/>
        <c:crossBetween val="midCat"/>
        <c:majorUnit val="0.2"/>
      </c:valAx>
      <c:valAx>
        <c:axId val="1237021088"/>
        <c:scaling>
          <c:orientation val="minMax"/>
          <c:max val="7"/>
          <c:min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1400" b="1" i="0" baseline="0">
                    <a:solidFill>
                      <a:schemeClr val="tx1"/>
                    </a:solidFill>
                  </a:rPr>
                  <a:t>pH [au]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86027470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52010029194241"/>
          <c:y val="2.9132127716709439E-2"/>
          <c:w val="0.19596121214206608"/>
          <c:h val="0.316264983997992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H2SO4 Cattle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'H2SO4 Cattle'!$E$2:$E$22</c:f>
              <c:numCache>
                <c:formatCode>0.000</c:formatCode>
                <c:ptCount val="21"/>
                <c:pt idx="0">
                  <c:v>0</c:v>
                </c:pt>
                <c:pt idx="1">
                  <c:v>0.75334800000000002</c:v>
                </c:pt>
                <c:pt idx="2">
                  <c:v>1.506696</c:v>
                </c:pt>
                <c:pt idx="3">
                  <c:v>2.2600439999999997</c:v>
                </c:pt>
                <c:pt idx="4">
                  <c:v>3.0133920000000001</c:v>
                </c:pt>
                <c:pt idx="5">
                  <c:v>3.76674</c:v>
                </c:pt>
                <c:pt idx="6">
                  <c:v>4.5200879999999994</c:v>
                </c:pt>
                <c:pt idx="7">
                  <c:v>5.2734359999999993</c:v>
                </c:pt>
                <c:pt idx="8">
                  <c:v>6.0267840000000001</c:v>
                </c:pt>
                <c:pt idx="9">
                  <c:v>6.780132</c:v>
                </c:pt>
                <c:pt idx="10">
                  <c:v>7.53348</c:v>
                </c:pt>
                <c:pt idx="11">
                  <c:v>8.2868279999999999</c:v>
                </c:pt>
                <c:pt idx="12">
                  <c:v>9.0401759999999989</c:v>
                </c:pt>
                <c:pt idx="13">
                  <c:v>9.7935239999999997</c:v>
                </c:pt>
                <c:pt idx="14">
                  <c:v>10.546871999999999</c:v>
                </c:pt>
                <c:pt idx="15">
                  <c:v>11.300219999999999</c:v>
                </c:pt>
                <c:pt idx="16">
                  <c:v>12.053568</c:v>
                </c:pt>
                <c:pt idx="17">
                  <c:v>12.806915999999999</c:v>
                </c:pt>
                <c:pt idx="18">
                  <c:v>13.560264</c:v>
                </c:pt>
                <c:pt idx="19">
                  <c:v>14.313611999999999</c:v>
                </c:pt>
                <c:pt idx="20">
                  <c:v>15.06696</c:v>
                </c:pt>
              </c:numCache>
            </c:numRef>
          </c:xVal>
          <c:yVal>
            <c:numRef>
              <c:f>'H2SO4 Cattle'!$B$2:$B$22</c:f>
              <c:numCache>
                <c:formatCode>General</c:formatCode>
                <c:ptCount val="21"/>
                <c:pt idx="0">
                  <c:v>6.89</c:v>
                </c:pt>
                <c:pt idx="1">
                  <c:v>6.83</c:v>
                </c:pt>
                <c:pt idx="2">
                  <c:v>6.67</c:v>
                </c:pt>
                <c:pt idx="3">
                  <c:v>6.49</c:v>
                </c:pt>
                <c:pt idx="4">
                  <c:v>6.41</c:v>
                </c:pt>
                <c:pt idx="5">
                  <c:v>6.38</c:v>
                </c:pt>
                <c:pt idx="6">
                  <c:v>6.32</c:v>
                </c:pt>
                <c:pt idx="7">
                  <c:v>6.26</c:v>
                </c:pt>
                <c:pt idx="8">
                  <c:v>6.24</c:v>
                </c:pt>
                <c:pt idx="9">
                  <c:v>6.19</c:v>
                </c:pt>
                <c:pt idx="10">
                  <c:v>6.13</c:v>
                </c:pt>
                <c:pt idx="11">
                  <c:v>6.01</c:v>
                </c:pt>
                <c:pt idx="12">
                  <c:v>5.94</c:v>
                </c:pt>
                <c:pt idx="13">
                  <c:v>5.81</c:v>
                </c:pt>
                <c:pt idx="14">
                  <c:v>5.7</c:v>
                </c:pt>
                <c:pt idx="15">
                  <c:v>5.64</c:v>
                </c:pt>
                <c:pt idx="16">
                  <c:v>5.47</c:v>
                </c:pt>
                <c:pt idx="17">
                  <c:v>5.34</c:v>
                </c:pt>
                <c:pt idx="18">
                  <c:v>5.12</c:v>
                </c:pt>
                <c:pt idx="19">
                  <c:v>5.01</c:v>
                </c:pt>
                <c:pt idx="20">
                  <c:v>4.8600000000000003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41-4118-9D89-14BCEE19D87F}"/>
            </c:ext>
          </c:extLst>
        </c:ser>
        <c:ser>
          <c:idx val="1"/>
          <c:order val="1"/>
          <c:tx>
            <c:v>H2SO4 Pig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'H2SO4 Pig'!$D$2:$D$14</c:f>
              <c:numCache>
                <c:formatCode>General</c:formatCode>
                <c:ptCount val="13"/>
                <c:pt idx="0">
                  <c:v>0</c:v>
                </c:pt>
                <c:pt idx="1">
                  <c:v>0.75334800000000002</c:v>
                </c:pt>
                <c:pt idx="2">
                  <c:v>1.506696</c:v>
                </c:pt>
                <c:pt idx="3">
                  <c:v>2.2600439999999997</c:v>
                </c:pt>
                <c:pt idx="4">
                  <c:v>3.0133920000000001</c:v>
                </c:pt>
                <c:pt idx="5">
                  <c:v>3.76674</c:v>
                </c:pt>
                <c:pt idx="6">
                  <c:v>4.5200879999999994</c:v>
                </c:pt>
                <c:pt idx="7">
                  <c:v>5.2734359999999993</c:v>
                </c:pt>
                <c:pt idx="8">
                  <c:v>6.0267840000000001</c:v>
                </c:pt>
                <c:pt idx="9">
                  <c:v>6.780132</c:v>
                </c:pt>
                <c:pt idx="10">
                  <c:v>7.53348</c:v>
                </c:pt>
                <c:pt idx="11">
                  <c:v>8.2868279999999999</c:v>
                </c:pt>
                <c:pt idx="12">
                  <c:v>9.0401759999999989</c:v>
                </c:pt>
              </c:numCache>
            </c:numRef>
          </c:xVal>
          <c:yVal>
            <c:numRef>
              <c:f>'H2SO4 Pig'!$B$2:$B$14</c:f>
              <c:numCache>
                <c:formatCode>General</c:formatCode>
                <c:ptCount val="13"/>
                <c:pt idx="0">
                  <c:v>6.55</c:v>
                </c:pt>
                <c:pt idx="1">
                  <c:v>6.33</c:v>
                </c:pt>
                <c:pt idx="2">
                  <c:v>6.15</c:v>
                </c:pt>
                <c:pt idx="3">
                  <c:v>6.01</c:v>
                </c:pt>
                <c:pt idx="4">
                  <c:v>5.85</c:v>
                </c:pt>
                <c:pt idx="5">
                  <c:v>5.74</c:v>
                </c:pt>
                <c:pt idx="6">
                  <c:v>5.61</c:v>
                </c:pt>
                <c:pt idx="7">
                  <c:v>5.49</c:v>
                </c:pt>
                <c:pt idx="8">
                  <c:v>5.38</c:v>
                </c:pt>
                <c:pt idx="9">
                  <c:v>5.27</c:v>
                </c:pt>
                <c:pt idx="10">
                  <c:v>5.17</c:v>
                </c:pt>
                <c:pt idx="11">
                  <c:v>5.09</c:v>
                </c:pt>
                <c:pt idx="12">
                  <c:v>5.01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41-4118-9D89-14BCEE19D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693887"/>
        <c:axId val="1856684287"/>
      </c:scatterChart>
      <c:valAx>
        <c:axId val="1856693887"/>
        <c:scaling>
          <c:orientation val="minMax"/>
          <c:max val="1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1400" b="1" i="0" baseline="0"/>
                  <a:t>m(acid) / m(slurry) [kg/ton]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alpha val="92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856684287"/>
        <c:crosses val="autoZero"/>
        <c:crossBetween val="midCat"/>
        <c:majorUnit val="2"/>
      </c:valAx>
      <c:valAx>
        <c:axId val="1856684287"/>
        <c:scaling>
          <c:orientation val="minMax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1400" b="1" i="0" baseline="0"/>
                  <a:t>pH [au]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856693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535362645555554"/>
          <c:y val="5.7745978492687818E-2"/>
          <c:w val="0.77699060635559469"/>
          <c:h val="0.68571942951649678"/>
        </c:manualLayout>
      </c:layout>
      <c:scatterChart>
        <c:scatterStyle val="lineMarker"/>
        <c:varyColors val="0"/>
        <c:ser>
          <c:idx val="0"/>
          <c:order val="0"/>
          <c:tx>
            <c:v>Acetic Acid Cattle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'Acetic acid cattle '!$C$2:$C$33</c:f>
              <c:numCache>
                <c:formatCode>General</c:formatCode>
                <c:ptCount val="32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1.2</c:v>
                </c:pt>
                <c:pt idx="4">
                  <c:v>1.6</c:v>
                </c:pt>
                <c:pt idx="5">
                  <c:v>2</c:v>
                </c:pt>
                <c:pt idx="6">
                  <c:v>2.4</c:v>
                </c:pt>
                <c:pt idx="7">
                  <c:v>2.8</c:v>
                </c:pt>
                <c:pt idx="8">
                  <c:v>3.2</c:v>
                </c:pt>
                <c:pt idx="9">
                  <c:v>3.6</c:v>
                </c:pt>
                <c:pt idx="10">
                  <c:v>4</c:v>
                </c:pt>
                <c:pt idx="11">
                  <c:v>4.4000000000000004</c:v>
                </c:pt>
                <c:pt idx="12">
                  <c:v>4.8</c:v>
                </c:pt>
                <c:pt idx="13">
                  <c:v>5.2</c:v>
                </c:pt>
                <c:pt idx="14">
                  <c:v>5.6</c:v>
                </c:pt>
                <c:pt idx="15">
                  <c:v>6</c:v>
                </c:pt>
                <c:pt idx="16">
                  <c:v>6.4</c:v>
                </c:pt>
                <c:pt idx="17">
                  <c:v>6.8</c:v>
                </c:pt>
                <c:pt idx="18">
                  <c:v>7.2</c:v>
                </c:pt>
                <c:pt idx="19">
                  <c:v>7.6</c:v>
                </c:pt>
                <c:pt idx="20">
                  <c:v>8</c:v>
                </c:pt>
                <c:pt idx="21">
                  <c:v>8.4</c:v>
                </c:pt>
                <c:pt idx="22">
                  <c:v>8.8000000000000007</c:v>
                </c:pt>
                <c:pt idx="23">
                  <c:v>9.1999999999999993</c:v>
                </c:pt>
                <c:pt idx="24">
                  <c:v>9.6</c:v>
                </c:pt>
                <c:pt idx="25">
                  <c:v>10</c:v>
                </c:pt>
                <c:pt idx="26">
                  <c:v>10.4</c:v>
                </c:pt>
                <c:pt idx="27">
                  <c:v>10.8</c:v>
                </c:pt>
                <c:pt idx="28">
                  <c:v>11.2</c:v>
                </c:pt>
                <c:pt idx="29">
                  <c:v>11.6</c:v>
                </c:pt>
                <c:pt idx="30">
                  <c:v>12</c:v>
                </c:pt>
                <c:pt idx="31">
                  <c:v>12.4</c:v>
                </c:pt>
              </c:numCache>
            </c:numRef>
          </c:xVal>
          <c:yVal>
            <c:numRef>
              <c:f>'Acetic acid cattle '!$B$2:$B$33</c:f>
              <c:numCache>
                <c:formatCode>General</c:formatCode>
                <c:ptCount val="32"/>
                <c:pt idx="0">
                  <c:v>6.89</c:v>
                </c:pt>
                <c:pt idx="1">
                  <c:v>6.76</c:v>
                </c:pt>
                <c:pt idx="2">
                  <c:v>6.66</c:v>
                </c:pt>
                <c:pt idx="3">
                  <c:v>6.58</c:v>
                </c:pt>
                <c:pt idx="4">
                  <c:v>6.5</c:v>
                </c:pt>
                <c:pt idx="5">
                  <c:v>6.45</c:v>
                </c:pt>
                <c:pt idx="6">
                  <c:v>6.39</c:v>
                </c:pt>
                <c:pt idx="7">
                  <c:v>6.34</c:v>
                </c:pt>
                <c:pt idx="8">
                  <c:v>6.29</c:v>
                </c:pt>
                <c:pt idx="9">
                  <c:v>6.2</c:v>
                </c:pt>
                <c:pt idx="10">
                  <c:v>6.22</c:v>
                </c:pt>
                <c:pt idx="11">
                  <c:v>6.18</c:v>
                </c:pt>
                <c:pt idx="12">
                  <c:v>6.15</c:v>
                </c:pt>
                <c:pt idx="13">
                  <c:v>6.1</c:v>
                </c:pt>
                <c:pt idx="14">
                  <c:v>6.08</c:v>
                </c:pt>
                <c:pt idx="15">
                  <c:v>6.05</c:v>
                </c:pt>
                <c:pt idx="16">
                  <c:v>6.03</c:v>
                </c:pt>
                <c:pt idx="17">
                  <c:v>6</c:v>
                </c:pt>
                <c:pt idx="18">
                  <c:v>5.96</c:v>
                </c:pt>
                <c:pt idx="19">
                  <c:v>5.89</c:v>
                </c:pt>
                <c:pt idx="20">
                  <c:v>5.83</c:v>
                </c:pt>
                <c:pt idx="21">
                  <c:v>5.76</c:v>
                </c:pt>
                <c:pt idx="22">
                  <c:v>5.71</c:v>
                </c:pt>
                <c:pt idx="23">
                  <c:v>5.66</c:v>
                </c:pt>
                <c:pt idx="24">
                  <c:v>5.61</c:v>
                </c:pt>
                <c:pt idx="25">
                  <c:v>5.57</c:v>
                </c:pt>
                <c:pt idx="26">
                  <c:v>5.48</c:v>
                </c:pt>
                <c:pt idx="27">
                  <c:v>5.43</c:v>
                </c:pt>
                <c:pt idx="28">
                  <c:v>5.37</c:v>
                </c:pt>
                <c:pt idx="29">
                  <c:v>5.26</c:v>
                </c:pt>
                <c:pt idx="30">
                  <c:v>5.21</c:v>
                </c:pt>
                <c:pt idx="31">
                  <c:v>5.18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1B-4633-A041-3F039C7101F8}"/>
            </c:ext>
          </c:extLst>
        </c:ser>
        <c:ser>
          <c:idx val="1"/>
          <c:order val="1"/>
          <c:tx>
            <c:v>Acetic Acid Pig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'Acetic acid pig'!$C$2:$C$27</c:f>
              <c:numCache>
                <c:formatCode>General</c:formatCode>
                <c:ptCount val="26"/>
                <c:pt idx="0">
                  <c:v>0</c:v>
                </c:pt>
                <c:pt idx="1">
                  <c:v>0.4</c:v>
                </c:pt>
                <c:pt idx="2">
                  <c:v>0.8</c:v>
                </c:pt>
                <c:pt idx="3">
                  <c:v>1.2</c:v>
                </c:pt>
                <c:pt idx="4">
                  <c:v>1.6</c:v>
                </c:pt>
                <c:pt idx="5">
                  <c:v>2</c:v>
                </c:pt>
                <c:pt idx="6">
                  <c:v>2.4</c:v>
                </c:pt>
                <c:pt idx="7">
                  <c:v>2.8</c:v>
                </c:pt>
                <c:pt idx="8">
                  <c:v>3.2</c:v>
                </c:pt>
                <c:pt idx="9">
                  <c:v>3.6</c:v>
                </c:pt>
                <c:pt idx="10">
                  <c:v>4</c:v>
                </c:pt>
                <c:pt idx="11">
                  <c:v>4.4000000000000004</c:v>
                </c:pt>
                <c:pt idx="12">
                  <c:v>4.8</c:v>
                </c:pt>
                <c:pt idx="13">
                  <c:v>5.2</c:v>
                </c:pt>
                <c:pt idx="14">
                  <c:v>5.6</c:v>
                </c:pt>
                <c:pt idx="15">
                  <c:v>6</c:v>
                </c:pt>
                <c:pt idx="16">
                  <c:v>6.4</c:v>
                </c:pt>
                <c:pt idx="17">
                  <c:v>6.8</c:v>
                </c:pt>
                <c:pt idx="18">
                  <c:v>7.2</c:v>
                </c:pt>
                <c:pt idx="19">
                  <c:v>7.6</c:v>
                </c:pt>
                <c:pt idx="20">
                  <c:v>8</c:v>
                </c:pt>
                <c:pt idx="21">
                  <c:v>8.4</c:v>
                </c:pt>
                <c:pt idx="22">
                  <c:v>8.8000000000000007</c:v>
                </c:pt>
                <c:pt idx="23">
                  <c:v>9.1999999999999993</c:v>
                </c:pt>
                <c:pt idx="24">
                  <c:v>9.6</c:v>
                </c:pt>
                <c:pt idx="25">
                  <c:v>10</c:v>
                </c:pt>
              </c:numCache>
            </c:numRef>
          </c:xVal>
          <c:yVal>
            <c:numRef>
              <c:f>'Acetic acid pig'!$B$2:$B$27</c:f>
              <c:numCache>
                <c:formatCode>General</c:formatCode>
                <c:ptCount val="26"/>
                <c:pt idx="0">
                  <c:v>6.56</c:v>
                </c:pt>
                <c:pt idx="1">
                  <c:v>6.43</c:v>
                </c:pt>
                <c:pt idx="2">
                  <c:v>6.32</c:v>
                </c:pt>
                <c:pt idx="3">
                  <c:v>6.24</c:v>
                </c:pt>
                <c:pt idx="4">
                  <c:v>6.16</c:v>
                </c:pt>
                <c:pt idx="5">
                  <c:v>6.09</c:v>
                </c:pt>
                <c:pt idx="6">
                  <c:v>6.03</c:v>
                </c:pt>
                <c:pt idx="7">
                  <c:v>5.99</c:v>
                </c:pt>
                <c:pt idx="8">
                  <c:v>5.93</c:v>
                </c:pt>
                <c:pt idx="9">
                  <c:v>5.89</c:v>
                </c:pt>
                <c:pt idx="10">
                  <c:v>5.85</c:v>
                </c:pt>
                <c:pt idx="11">
                  <c:v>5.8</c:v>
                </c:pt>
                <c:pt idx="12">
                  <c:v>5.74</c:v>
                </c:pt>
                <c:pt idx="13">
                  <c:v>5.71</c:v>
                </c:pt>
                <c:pt idx="14">
                  <c:v>5.67</c:v>
                </c:pt>
                <c:pt idx="15">
                  <c:v>5.61</c:v>
                </c:pt>
                <c:pt idx="16">
                  <c:v>5.56</c:v>
                </c:pt>
                <c:pt idx="17" formatCode="0.00">
                  <c:v>5.5</c:v>
                </c:pt>
                <c:pt idx="18">
                  <c:v>5.46</c:v>
                </c:pt>
                <c:pt idx="19">
                  <c:v>5.42</c:v>
                </c:pt>
                <c:pt idx="20">
                  <c:v>5.38</c:v>
                </c:pt>
                <c:pt idx="21">
                  <c:v>5.35</c:v>
                </c:pt>
                <c:pt idx="22">
                  <c:v>5.32</c:v>
                </c:pt>
                <c:pt idx="23">
                  <c:v>5.29</c:v>
                </c:pt>
                <c:pt idx="24">
                  <c:v>5.26</c:v>
                </c:pt>
                <c:pt idx="25">
                  <c:v>5.23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1B-4633-A041-3F039C710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600095"/>
        <c:axId val="2063600575"/>
      </c:scatterChart>
      <c:valAx>
        <c:axId val="2063600095"/>
        <c:scaling>
          <c:orientation val="minMax"/>
          <c:max val="13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1400" b="1" i="0" baseline="0"/>
                  <a:t>V(acid) / m(slurry) [L/ton]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63600575"/>
        <c:crosses val="autoZero"/>
        <c:crossBetween val="midCat"/>
        <c:majorUnit val="1"/>
      </c:valAx>
      <c:valAx>
        <c:axId val="2063600575"/>
        <c:scaling>
          <c:orientation val="minMax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sz="1400" baseline="0"/>
                  <a:t>pH [au]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6360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3730179622303"/>
          <c:y val="6.0167939871903504E-2"/>
          <c:w val="0.22290670310818855"/>
          <c:h val="0.158129544866788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'H2SO4 Cattle'!$A$2:$A$22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 formatCode="0.00">
                  <c:v>2</c:v>
                </c:pt>
              </c:numCache>
            </c:numRef>
          </c:xVal>
          <c:yVal>
            <c:numRef>
              <c:f>'H2SO4 Cattle'!$B$2:$B$22</c:f>
              <c:numCache>
                <c:formatCode>General</c:formatCode>
                <c:ptCount val="21"/>
                <c:pt idx="0">
                  <c:v>6.89</c:v>
                </c:pt>
                <c:pt idx="1">
                  <c:v>6.83</c:v>
                </c:pt>
                <c:pt idx="2">
                  <c:v>6.67</c:v>
                </c:pt>
                <c:pt idx="3">
                  <c:v>6.49</c:v>
                </c:pt>
                <c:pt idx="4">
                  <c:v>6.41</c:v>
                </c:pt>
                <c:pt idx="5">
                  <c:v>6.38</c:v>
                </c:pt>
                <c:pt idx="6">
                  <c:v>6.32</c:v>
                </c:pt>
                <c:pt idx="7">
                  <c:v>6.26</c:v>
                </c:pt>
                <c:pt idx="8">
                  <c:v>6.24</c:v>
                </c:pt>
                <c:pt idx="9">
                  <c:v>6.19</c:v>
                </c:pt>
                <c:pt idx="10">
                  <c:v>6.13</c:v>
                </c:pt>
                <c:pt idx="11">
                  <c:v>6.01</c:v>
                </c:pt>
                <c:pt idx="12">
                  <c:v>5.94</c:v>
                </c:pt>
                <c:pt idx="13">
                  <c:v>5.81</c:v>
                </c:pt>
                <c:pt idx="14">
                  <c:v>5.7</c:v>
                </c:pt>
                <c:pt idx="15">
                  <c:v>5.64</c:v>
                </c:pt>
                <c:pt idx="16">
                  <c:v>5.47</c:v>
                </c:pt>
                <c:pt idx="17">
                  <c:v>5.34</c:v>
                </c:pt>
                <c:pt idx="18">
                  <c:v>5.12</c:v>
                </c:pt>
                <c:pt idx="19">
                  <c:v>5.01</c:v>
                </c:pt>
                <c:pt idx="20">
                  <c:v>4.8600000000000003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5C-4129-8816-7937A5DC7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398352"/>
        <c:axId val="509398832"/>
      </c:scatterChart>
      <c:valAx>
        <c:axId val="509398352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V</a:t>
                </a:r>
                <a:r>
                  <a:rPr lang="da-DK" baseline="0"/>
                  <a:t> H2SO4 [mL]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09398832"/>
        <c:crosses val="autoZero"/>
        <c:crossBetween val="midCat"/>
      </c:valAx>
      <c:valAx>
        <c:axId val="509398832"/>
        <c:scaling>
          <c:orientation val="minMax"/>
          <c:max val="7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pH [au]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0939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11</xdr:col>
      <xdr:colOff>354419</xdr:colOff>
      <xdr:row>19</xdr:row>
      <xdr:rowOff>132907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78953-EAC2-4638-8A60-65FF5797E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16387</xdr:colOff>
      <xdr:row>0</xdr:row>
      <xdr:rowOff>176980</xdr:rowOff>
    </xdr:from>
    <xdr:to>
      <xdr:col>24</xdr:col>
      <xdr:colOff>352323</xdr:colOff>
      <xdr:row>20</xdr:row>
      <xdr:rowOff>90129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E81434-E430-6068-C329-371DCBC36CA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473607</xdr:colOff>
      <xdr:row>21</xdr:row>
      <xdr:rowOff>87086</xdr:rowOff>
    </xdr:from>
    <xdr:to>
      <xdr:col>11</xdr:col>
      <xdr:colOff>268514</xdr:colOff>
      <xdr:row>37</xdr:row>
      <xdr:rowOff>110279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B92E8A-E519-F08F-F6A8-AAAF41CCE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187657</xdr:colOff>
      <xdr:row>22</xdr:row>
      <xdr:rowOff>44356</xdr:rowOff>
    </xdr:from>
    <xdr:to>
      <xdr:col>19</xdr:col>
      <xdr:colOff>460612</xdr:colOff>
      <xdr:row>37</xdr:row>
      <xdr:rowOff>58003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785BF1-CCE9-47D4-B15F-6B03A972F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26</xdr:row>
      <xdr:rowOff>26670</xdr:rowOff>
    </xdr:from>
    <xdr:to>
      <xdr:col>7</xdr:col>
      <xdr:colOff>601980</xdr:colOff>
      <xdr:row>41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2055C-7AC4-2650-52AB-95DC79B5A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E00D1-6A9A-44E0-9CB6-C8BB3E83EB7D}">
  <dimension ref="A1"/>
  <sheetViews>
    <sheetView topLeftCell="B16" zoomScale="89" workbookViewId="0">
      <selection activeCell="N41" sqref="N41"/>
    </sheetView>
  </sheetViews>
  <sheetFormatPr defaultRowHeight="14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DFDD-A270-40FD-877D-0E89E2FC85DD}">
  <dimension ref="A1:H22"/>
  <sheetViews>
    <sheetView workbookViewId="0">
      <selection activeCell="L12" sqref="L12"/>
    </sheetView>
  </sheetViews>
  <sheetFormatPr defaultRowHeight="14.45"/>
  <cols>
    <col min="1" max="1" width="9.42578125" bestFit="1" customWidth="1"/>
    <col min="3" max="3" width="15" bestFit="1" customWidth="1"/>
    <col min="4" max="5" width="22.28515625" bestFit="1" customWidth="1"/>
    <col min="6" max="6" width="30.5703125" bestFit="1" customWidth="1"/>
    <col min="7" max="7" width="33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8">
      <c r="A2">
        <v>0</v>
      </c>
      <c r="B2">
        <v>6.89</v>
      </c>
      <c r="C2">
        <f t="shared" ref="C2:C22" si="0">A2*$H$2*10^-3</f>
        <v>0</v>
      </c>
      <c r="D2">
        <f>(C2*10^3)/$H$3</f>
        <v>0</v>
      </c>
      <c r="E2" s="4">
        <f t="shared" ref="E2:E22" si="1">C2/$H$4</f>
        <v>0</v>
      </c>
      <c r="F2" s="3">
        <f>(D2*10^-3) /$H$4</f>
        <v>0</v>
      </c>
      <c r="G2" t="s">
        <v>7</v>
      </c>
      <c r="H2" s="9">
        <v>1.88337</v>
      </c>
    </row>
    <row r="3" spans="1:8">
      <c r="A3">
        <v>0.1</v>
      </c>
      <c r="B3">
        <v>6.83</v>
      </c>
      <c r="C3">
        <f t="shared" si="0"/>
        <v>1.8833700000000001E-4</v>
      </c>
      <c r="D3" s="4">
        <f t="shared" ref="D3:D22" si="2">(C3*10^3)/$H$3</f>
        <v>9.9990443577287563E-2</v>
      </c>
      <c r="E3" s="4">
        <f t="shared" si="1"/>
        <v>0.75334800000000002</v>
      </c>
      <c r="F3" s="3">
        <f t="shared" ref="F3:F22" si="3">(D3*10^-3) /$H$4</f>
        <v>0.39996177430915025</v>
      </c>
      <c r="G3" t="s">
        <v>8</v>
      </c>
      <c r="H3">
        <v>1.8835500000000001</v>
      </c>
    </row>
    <row r="4" spans="1:8">
      <c r="A4">
        <v>0.2</v>
      </c>
      <c r="B4">
        <v>6.67</v>
      </c>
      <c r="C4">
        <f t="shared" si="0"/>
        <v>3.7667400000000002E-4</v>
      </c>
      <c r="D4" s="4">
        <f t="shared" si="2"/>
        <v>0.19998088715457513</v>
      </c>
      <c r="E4" s="4">
        <f t="shared" si="1"/>
        <v>1.506696</v>
      </c>
      <c r="F4" s="3">
        <f t="shared" si="3"/>
        <v>0.79992354861830051</v>
      </c>
      <c r="G4" t="s">
        <v>9</v>
      </c>
      <c r="H4" s="3">
        <f>250*10^-6</f>
        <v>2.5000000000000001E-4</v>
      </c>
    </row>
    <row r="5" spans="1:8">
      <c r="A5">
        <v>0.3</v>
      </c>
      <c r="B5">
        <v>6.49</v>
      </c>
      <c r="C5">
        <f t="shared" si="0"/>
        <v>5.6501099999999992E-4</v>
      </c>
      <c r="D5" s="4">
        <f t="shared" si="2"/>
        <v>0.29997133073186266</v>
      </c>
      <c r="E5" s="4">
        <f t="shared" si="1"/>
        <v>2.2600439999999997</v>
      </c>
      <c r="F5" s="3">
        <f t="shared" si="3"/>
        <v>1.1998853229274506</v>
      </c>
    </row>
    <row r="6" spans="1:8">
      <c r="A6">
        <v>0.4</v>
      </c>
      <c r="B6" s="5">
        <v>6.41</v>
      </c>
      <c r="C6">
        <f t="shared" si="0"/>
        <v>7.5334800000000004E-4</v>
      </c>
      <c r="D6" s="4">
        <f t="shared" si="2"/>
        <v>0.39996177430915025</v>
      </c>
      <c r="E6" s="6">
        <f t="shared" si="1"/>
        <v>3.0133920000000001</v>
      </c>
      <c r="F6" s="3">
        <f t="shared" si="3"/>
        <v>1.599847097236601</v>
      </c>
    </row>
    <row r="7" spans="1:8">
      <c r="A7">
        <v>0.5</v>
      </c>
      <c r="B7">
        <v>6.38</v>
      </c>
      <c r="C7">
        <f t="shared" si="0"/>
        <v>9.4168500000000005E-4</v>
      </c>
      <c r="D7" s="4">
        <f t="shared" si="2"/>
        <v>0.49995221788643784</v>
      </c>
      <c r="E7" s="4">
        <f t="shared" si="1"/>
        <v>3.76674</v>
      </c>
      <c r="F7" s="3">
        <f t="shared" si="3"/>
        <v>1.9998088715457514</v>
      </c>
    </row>
    <row r="8" spans="1:8">
      <c r="A8">
        <v>0.6</v>
      </c>
      <c r="B8">
        <v>6.32</v>
      </c>
      <c r="C8">
        <f t="shared" si="0"/>
        <v>1.1300219999999998E-3</v>
      </c>
      <c r="D8" s="4">
        <f t="shared" si="2"/>
        <v>0.59994266146372532</v>
      </c>
      <c r="E8" s="4">
        <f t="shared" si="1"/>
        <v>4.5200879999999994</v>
      </c>
      <c r="F8" s="3">
        <f t="shared" si="3"/>
        <v>2.3997706458549013</v>
      </c>
    </row>
    <row r="9" spans="1:8">
      <c r="A9">
        <v>0.7</v>
      </c>
      <c r="B9">
        <v>6.26</v>
      </c>
      <c r="C9">
        <f t="shared" si="0"/>
        <v>1.3183589999999999E-3</v>
      </c>
      <c r="D9" s="4">
        <f t="shared" si="2"/>
        <v>0.69993310504101292</v>
      </c>
      <c r="E9" s="4">
        <f t="shared" si="1"/>
        <v>5.2734359999999993</v>
      </c>
      <c r="F9" s="3">
        <f t="shared" si="3"/>
        <v>2.7997324201640517</v>
      </c>
    </row>
    <row r="10" spans="1:8">
      <c r="A10">
        <v>0.8</v>
      </c>
      <c r="B10">
        <v>6.24</v>
      </c>
      <c r="C10">
        <f t="shared" si="0"/>
        <v>1.5066960000000001E-3</v>
      </c>
      <c r="D10" s="4">
        <f t="shared" si="2"/>
        <v>0.79992354861830051</v>
      </c>
      <c r="E10" s="4">
        <f t="shared" si="1"/>
        <v>6.0267840000000001</v>
      </c>
      <c r="F10" s="3">
        <f t="shared" si="3"/>
        <v>3.199694194473202</v>
      </c>
    </row>
    <row r="11" spans="1:8">
      <c r="A11">
        <v>0.9</v>
      </c>
      <c r="B11">
        <v>6.19</v>
      </c>
      <c r="C11">
        <f t="shared" si="0"/>
        <v>1.6950330000000001E-3</v>
      </c>
      <c r="D11" s="4">
        <f t="shared" si="2"/>
        <v>0.8999139921955881</v>
      </c>
      <c r="E11" s="4">
        <f t="shared" si="1"/>
        <v>6.780132</v>
      </c>
      <c r="F11" s="3">
        <f t="shared" si="3"/>
        <v>3.5996559687823524</v>
      </c>
    </row>
    <row r="12" spans="1:8">
      <c r="A12">
        <v>1</v>
      </c>
      <c r="B12">
        <v>6.13</v>
      </c>
      <c r="C12">
        <f t="shared" si="0"/>
        <v>1.8833700000000001E-3</v>
      </c>
      <c r="D12" s="4">
        <f t="shared" si="2"/>
        <v>0.99990443577287569</v>
      </c>
      <c r="E12" s="4">
        <f t="shared" si="1"/>
        <v>7.53348</v>
      </c>
      <c r="F12" s="3">
        <f t="shared" si="3"/>
        <v>3.9996177430915028</v>
      </c>
    </row>
    <row r="13" spans="1:8">
      <c r="A13">
        <v>1.1000000000000001</v>
      </c>
      <c r="B13">
        <v>6.01</v>
      </c>
      <c r="C13">
        <f t="shared" si="0"/>
        <v>2.0717069999999999E-3</v>
      </c>
      <c r="D13" s="4">
        <f t="shared" si="2"/>
        <v>1.0998948793501633</v>
      </c>
      <c r="E13" s="4">
        <f t="shared" si="1"/>
        <v>8.2868279999999999</v>
      </c>
      <c r="F13" s="3">
        <f t="shared" si="3"/>
        <v>4.3995795174006531</v>
      </c>
    </row>
    <row r="14" spans="1:8">
      <c r="A14">
        <v>1.2</v>
      </c>
      <c r="B14">
        <v>5.94</v>
      </c>
      <c r="C14">
        <f t="shared" si="0"/>
        <v>2.2600439999999997E-3</v>
      </c>
      <c r="D14" s="4">
        <f t="shared" si="2"/>
        <v>1.1998853229274506</v>
      </c>
      <c r="E14" s="4">
        <f t="shared" si="1"/>
        <v>9.0401759999999989</v>
      </c>
      <c r="F14" s="3">
        <f t="shared" si="3"/>
        <v>4.7995412917098026</v>
      </c>
    </row>
    <row r="15" spans="1:8">
      <c r="A15">
        <v>1.3</v>
      </c>
      <c r="B15">
        <v>5.81</v>
      </c>
      <c r="C15">
        <f t="shared" si="0"/>
        <v>2.4483809999999999E-3</v>
      </c>
      <c r="D15" s="4">
        <f t="shared" si="2"/>
        <v>1.2998757665047382</v>
      </c>
      <c r="E15" s="4">
        <f t="shared" si="1"/>
        <v>9.7935239999999997</v>
      </c>
      <c r="F15" s="3">
        <f t="shared" si="3"/>
        <v>5.199503066018953</v>
      </c>
    </row>
    <row r="16" spans="1:8">
      <c r="A16">
        <v>1.4</v>
      </c>
      <c r="B16">
        <v>5.7</v>
      </c>
      <c r="C16">
        <f t="shared" si="0"/>
        <v>2.6367179999999997E-3</v>
      </c>
      <c r="D16" s="4">
        <f t="shared" si="2"/>
        <v>1.3998662100820258</v>
      </c>
      <c r="E16" s="4">
        <f t="shared" si="1"/>
        <v>10.546871999999999</v>
      </c>
      <c r="F16" s="3">
        <f t="shared" si="3"/>
        <v>5.5994648403281033</v>
      </c>
    </row>
    <row r="17" spans="1:6">
      <c r="A17">
        <v>1.5</v>
      </c>
      <c r="B17">
        <v>5.64</v>
      </c>
      <c r="C17">
        <f t="shared" si="0"/>
        <v>2.8250549999999999E-3</v>
      </c>
      <c r="D17" s="4">
        <f t="shared" si="2"/>
        <v>1.4998566536593134</v>
      </c>
      <c r="E17" s="4">
        <f t="shared" si="1"/>
        <v>11.300219999999999</v>
      </c>
      <c r="F17" s="3">
        <f t="shared" si="3"/>
        <v>5.9994266146372537</v>
      </c>
    </row>
    <row r="18" spans="1:6">
      <c r="A18">
        <v>1.6</v>
      </c>
      <c r="B18">
        <v>5.47</v>
      </c>
      <c r="C18">
        <f t="shared" si="0"/>
        <v>3.0133920000000002E-3</v>
      </c>
      <c r="D18" s="4">
        <f t="shared" si="2"/>
        <v>1.599847097236601</v>
      </c>
      <c r="E18" s="4">
        <f t="shared" si="1"/>
        <v>12.053568</v>
      </c>
      <c r="F18" s="3">
        <f t="shared" si="3"/>
        <v>6.399388388946404</v>
      </c>
    </row>
    <row r="19" spans="1:6">
      <c r="A19">
        <v>1.7</v>
      </c>
      <c r="B19">
        <v>5.34</v>
      </c>
      <c r="C19">
        <f t="shared" si="0"/>
        <v>3.2017289999999999E-3</v>
      </c>
      <c r="D19" s="4">
        <f t="shared" si="2"/>
        <v>1.6998375408138886</v>
      </c>
      <c r="E19" s="4">
        <f t="shared" si="1"/>
        <v>12.806915999999999</v>
      </c>
      <c r="F19" s="3">
        <f t="shared" si="3"/>
        <v>6.7993501632555544</v>
      </c>
    </row>
    <row r="20" spans="1:6">
      <c r="A20">
        <v>1.8</v>
      </c>
      <c r="B20">
        <v>5.12</v>
      </c>
      <c r="C20">
        <f t="shared" si="0"/>
        <v>3.3900660000000002E-3</v>
      </c>
      <c r="D20" s="4">
        <f t="shared" si="2"/>
        <v>1.7998279843911762</v>
      </c>
      <c r="E20" s="4">
        <f t="shared" si="1"/>
        <v>13.560264</v>
      </c>
      <c r="F20" s="3">
        <f t="shared" si="3"/>
        <v>7.1993119375647048</v>
      </c>
    </row>
    <row r="21" spans="1:6">
      <c r="A21">
        <v>1.9</v>
      </c>
      <c r="B21">
        <v>5.01</v>
      </c>
      <c r="C21">
        <f t="shared" si="0"/>
        <v>3.578403E-3</v>
      </c>
      <c r="D21" s="4">
        <f t="shared" si="2"/>
        <v>1.8998184279684636</v>
      </c>
      <c r="E21" s="4">
        <f t="shared" si="1"/>
        <v>14.313611999999999</v>
      </c>
      <c r="F21" s="3">
        <f t="shared" si="3"/>
        <v>7.5992737118738543</v>
      </c>
    </row>
    <row r="22" spans="1:6">
      <c r="A22" s="8">
        <v>2</v>
      </c>
      <c r="B22">
        <v>4.8600000000000003</v>
      </c>
      <c r="C22">
        <f t="shared" si="0"/>
        <v>3.7667400000000002E-3</v>
      </c>
      <c r="D22" s="4">
        <f t="shared" si="2"/>
        <v>1.9998088715457514</v>
      </c>
      <c r="E22" s="4">
        <f t="shared" si="1"/>
        <v>15.06696</v>
      </c>
      <c r="F22" s="3">
        <f t="shared" si="3"/>
        <v>7.9992354861830055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378D-0777-4493-8656-7A9D46D18B53}">
  <dimension ref="A1:H14"/>
  <sheetViews>
    <sheetView workbookViewId="0">
      <selection activeCell="B6" sqref="B6"/>
    </sheetView>
  </sheetViews>
  <sheetFormatPr defaultRowHeight="14.45"/>
  <cols>
    <col min="1" max="1" width="9.42578125" bestFit="1" customWidth="1"/>
    <col min="3" max="3" width="9.5703125" bestFit="1" customWidth="1"/>
    <col min="4" max="4" width="23.42578125" bestFit="1" customWidth="1"/>
    <col min="5" max="5" width="22.85546875" bestFit="1" customWidth="1"/>
    <col min="6" max="7" width="30.5703125" bestFit="1" customWidth="1"/>
  </cols>
  <sheetData>
    <row r="1" spans="1:8">
      <c r="A1" t="s">
        <v>0</v>
      </c>
      <c r="B1" t="s">
        <v>1</v>
      </c>
      <c r="C1" t="s">
        <v>10</v>
      </c>
      <c r="D1" t="s">
        <v>11</v>
      </c>
      <c r="E1" t="s">
        <v>12</v>
      </c>
      <c r="G1" s="1" t="s">
        <v>6</v>
      </c>
    </row>
    <row r="2" spans="1:8">
      <c r="A2">
        <v>0</v>
      </c>
      <c r="B2">
        <v>6.55</v>
      </c>
      <c r="C2">
        <f t="shared" ref="C2:C14" si="0">A2*$H$2*10^-3</f>
        <v>0</v>
      </c>
      <c r="D2">
        <f t="shared" ref="D2:D14" si="1">C2/$H$3</f>
        <v>0</v>
      </c>
      <c r="E2">
        <f>(A2*10^-3) /$H$3</f>
        <v>0</v>
      </c>
      <c r="G2" t="s">
        <v>8</v>
      </c>
      <c r="H2" s="2">
        <v>1.88337</v>
      </c>
    </row>
    <row r="3" spans="1:8">
      <c r="A3">
        <v>0.1</v>
      </c>
      <c r="B3">
        <v>6.33</v>
      </c>
      <c r="C3">
        <f t="shared" si="0"/>
        <v>1.8833700000000001E-4</v>
      </c>
      <c r="D3">
        <f t="shared" si="1"/>
        <v>0.75334800000000002</v>
      </c>
      <c r="E3">
        <f t="shared" ref="E3:E14" si="2">(A3*10^-3) /$H$3</f>
        <v>0.4</v>
      </c>
      <c r="G3" t="s">
        <v>9</v>
      </c>
      <c r="H3" s="3">
        <f>250*10^-6</f>
        <v>2.5000000000000001E-4</v>
      </c>
    </row>
    <row r="4" spans="1:8">
      <c r="A4">
        <v>0.2</v>
      </c>
      <c r="B4">
        <v>6.15</v>
      </c>
      <c r="C4">
        <f t="shared" si="0"/>
        <v>3.7667400000000002E-4</v>
      </c>
      <c r="D4">
        <f t="shared" si="1"/>
        <v>1.506696</v>
      </c>
      <c r="E4">
        <f t="shared" si="2"/>
        <v>0.8</v>
      </c>
    </row>
    <row r="5" spans="1:8">
      <c r="A5">
        <v>0.3</v>
      </c>
      <c r="B5">
        <v>6.01</v>
      </c>
      <c r="C5">
        <f t="shared" si="0"/>
        <v>5.6501099999999992E-4</v>
      </c>
      <c r="D5">
        <f>C5/$H$3</f>
        <v>2.2600439999999997</v>
      </c>
      <c r="E5">
        <f t="shared" si="2"/>
        <v>1.2</v>
      </c>
    </row>
    <row r="6" spans="1:8">
      <c r="A6">
        <v>0.4</v>
      </c>
      <c r="B6" s="5">
        <v>5.85</v>
      </c>
      <c r="C6">
        <f t="shared" si="0"/>
        <v>7.5334800000000004E-4</v>
      </c>
      <c r="D6" s="5">
        <f t="shared" si="1"/>
        <v>3.0133920000000001</v>
      </c>
      <c r="E6">
        <f t="shared" si="2"/>
        <v>1.6</v>
      </c>
    </row>
    <row r="7" spans="1:8">
      <c r="A7">
        <v>0.5</v>
      </c>
      <c r="B7">
        <v>5.74</v>
      </c>
      <c r="C7">
        <f t="shared" si="0"/>
        <v>9.4168500000000005E-4</v>
      </c>
      <c r="D7">
        <f t="shared" si="1"/>
        <v>3.76674</v>
      </c>
      <c r="E7">
        <f t="shared" si="2"/>
        <v>2</v>
      </c>
    </row>
    <row r="8" spans="1:8">
      <c r="A8">
        <v>0.6</v>
      </c>
      <c r="B8">
        <v>5.61</v>
      </c>
      <c r="C8">
        <f t="shared" si="0"/>
        <v>1.1300219999999998E-3</v>
      </c>
      <c r="D8">
        <f t="shared" si="1"/>
        <v>4.5200879999999994</v>
      </c>
      <c r="E8">
        <f t="shared" si="2"/>
        <v>2.4</v>
      </c>
    </row>
    <row r="9" spans="1:8">
      <c r="A9">
        <v>0.7</v>
      </c>
      <c r="B9">
        <v>5.49</v>
      </c>
      <c r="C9">
        <f t="shared" si="0"/>
        <v>1.3183589999999999E-3</v>
      </c>
      <c r="D9">
        <f t="shared" si="1"/>
        <v>5.2734359999999993</v>
      </c>
      <c r="E9">
        <f t="shared" si="2"/>
        <v>2.8</v>
      </c>
    </row>
    <row r="10" spans="1:8">
      <c r="A10">
        <v>0.8</v>
      </c>
      <c r="B10">
        <v>5.38</v>
      </c>
      <c r="C10">
        <f t="shared" si="0"/>
        <v>1.5066960000000001E-3</v>
      </c>
      <c r="D10">
        <f t="shared" si="1"/>
        <v>6.0267840000000001</v>
      </c>
      <c r="E10">
        <f t="shared" si="2"/>
        <v>3.2</v>
      </c>
    </row>
    <row r="11" spans="1:8">
      <c r="A11">
        <v>0.9</v>
      </c>
      <c r="B11">
        <v>5.27</v>
      </c>
      <c r="C11">
        <f t="shared" si="0"/>
        <v>1.6950330000000001E-3</v>
      </c>
      <c r="D11">
        <f t="shared" si="1"/>
        <v>6.780132</v>
      </c>
      <c r="E11">
        <f t="shared" si="2"/>
        <v>3.6</v>
      </c>
    </row>
    <row r="12" spans="1:8">
      <c r="A12">
        <v>1</v>
      </c>
      <c r="B12">
        <v>5.17</v>
      </c>
      <c r="C12">
        <f t="shared" si="0"/>
        <v>1.8833700000000001E-3</v>
      </c>
      <c r="D12">
        <f t="shared" si="1"/>
        <v>7.53348</v>
      </c>
      <c r="E12">
        <f t="shared" si="2"/>
        <v>4</v>
      </c>
    </row>
    <row r="13" spans="1:8">
      <c r="A13">
        <v>1.1000000000000001</v>
      </c>
      <c r="B13">
        <v>5.09</v>
      </c>
      <c r="C13">
        <f t="shared" si="0"/>
        <v>2.0717069999999999E-3</v>
      </c>
      <c r="D13">
        <f t="shared" si="1"/>
        <v>8.2868279999999999</v>
      </c>
      <c r="E13">
        <f t="shared" si="2"/>
        <v>4.4000000000000004</v>
      </c>
    </row>
    <row r="14" spans="1:8">
      <c r="A14">
        <v>1.2</v>
      </c>
      <c r="B14">
        <v>5.01</v>
      </c>
      <c r="C14">
        <f t="shared" si="0"/>
        <v>2.2600439999999997E-3</v>
      </c>
      <c r="D14">
        <f t="shared" si="1"/>
        <v>9.0401759999999989</v>
      </c>
      <c r="E14">
        <f t="shared" si="2"/>
        <v>4.8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BF1B-3994-4F8C-B4F0-48FFCEC3FFFF}">
  <dimension ref="A1:J33"/>
  <sheetViews>
    <sheetView tabSelected="1" workbookViewId="0">
      <selection activeCell="C8" sqref="C8"/>
    </sheetView>
  </sheetViews>
  <sheetFormatPr defaultRowHeight="14.45"/>
  <cols>
    <col min="1" max="1" width="9.42578125" bestFit="1" customWidth="1"/>
    <col min="3" max="3" width="19.7109375" bestFit="1" customWidth="1"/>
    <col min="4" max="4" width="11.28515625" bestFit="1" customWidth="1"/>
  </cols>
  <sheetData>
    <row r="1" spans="1:10">
      <c r="A1" t="s">
        <v>0</v>
      </c>
      <c r="B1" t="s">
        <v>1</v>
      </c>
      <c r="C1" t="s">
        <v>13</v>
      </c>
      <c r="D1" t="s">
        <v>14</v>
      </c>
      <c r="J1" t="s">
        <v>15</v>
      </c>
    </row>
    <row r="2" spans="1:10">
      <c r="A2">
        <v>0</v>
      </c>
      <c r="B2">
        <v>6.89</v>
      </c>
      <c r="C2">
        <f>(A2*10^-3) /$D$2</f>
        <v>0</v>
      </c>
      <c r="D2">
        <f>250*10^-6</f>
        <v>2.5000000000000001E-4</v>
      </c>
      <c r="J2" t="s">
        <v>16</v>
      </c>
    </row>
    <row r="3" spans="1:10">
      <c r="A3">
        <v>0.1</v>
      </c>
      <c r="B3">
        <v>6.76</v>
      </c>
      <c r="C3">
        <f t="shared" ref="C3:C33" si="0">(A3*10^-3) /$D$2</f>
        <v>0.4</v>
      </c>
    </row>
    <row r="4" spans="1:10">
      <c r="A4">
        <v>0.2</v>
      </c>
      <c r="B4">
        <v>6.66</v>
      </c>
      <c r="C4">
        <f t="shared" si="0"/>
        <v>0.8</v>
      </c>
    </row>
    <row r="5" spans="1:10">
      <c r="A5">
        <v>0.3</v>
      </c>
      <c r="B5">
        <v>6.58</v>
      </c>
      <c r="C5">
        <f t="shared" si="0"/>
        <v>1.2</v>
      </c>
    </row>
    <row r="6" spans="1:10">
      <c r="A6">
        <v>0.4</v>
      </c>
      <c r="B6">
        <v>6.5</v>
      </c>
      <c r="C6">
        <f t="shared" si="0"/>
        <v>1.6</v>
      </c>
    </row>
    <row r="7" spans="1:10">
      <c r="A7">
        <v>0.5</v>
      </c>
      <c r="B7">
        <v>6.45</v>
      </c>
      <c r="C7">
        <f t="shared" si="0"/>
        <v>2</v>
      </c>
    </row>
    <row r="8" spans="1:10">
      <c r="A8">
        <v>0.6</v>
      </c>
      <c r="B8" s="5">
        <v>6.39</v>
      </c>
      <c r="C8" s="5">
        <f t="shared" si="0"/>
        <v>2.4</v>
      </c>
    </row>
    <row r="9" spans="1:10">
      <c r="A9">
        <v>0.7</v>
      </c>
      <c r="B9">
        <v>6.34</v>
      </c>
      <c r="C9">
        <f t="shared" si="0"/>
        <v>2.8</v>
      </c>
    </row>
    <row r="10" spans="1:10">
      <c r="A10">
        <v>0.8</v>
      </c>
      <c r="B10">
        <v>6.29</v>
      </c>
      <c r="C10">
        <f t="shared" si="0"/>
        <v>3.2</v>
      </c>
    </row>
    <row r="11" spans="1:10">
      <c r="A11">
        <v>0.9</v>
      </c>
      <c r="B11">
        <v>6.2</v>
      </c>
      <c r="C11">
        <f t="shared" si="0"/>
        <v>3.6</v>
      </c>
    </row>
    <row r="12" spans="1:10">
      <c r="A12">
        <v>1</v>
      </c>
      <c r="B12">
        <v>6.22</v>
      </c>
      <c r="C12">
        <f t="shared" si="0"/>
        <v>4</v>
      </c>
    </row>
    <row r="13" spans="1:10">
      <c r="A13">
        <v>1.1000000000000001</v>
      </c>
      <c r="B13">
        <v>6.18</v>
      </c>
      <c r="C13">
        <f t="shared" si="0"/>
        <v>4.4000000000000004</v>
      </c>
    </row>
    <row r="14" spans="1:10">
      <c r="A14">
        <v>1.2</v>
      </c>
      <c r="B14">
        <v>6.15</v>
      </c>
      <c r="C14">
        <f t="shared" si="0"/>
        <v>4.8</v>
      </c>
    </row>
    <row r="15" spans="1:10">
      <c r="A15">
        <v>1.3</v>
      </c>
      <c r="B15">
        <v>6.1</v>
      </c>
      <c r="C15">
        <f t="shared" si="0"/>
        <v>5.2</v>
      </c>
    </row>
    <row r="16" spans="1:10">
      <c r="A16">
        <v>1.4</v>
      </c>
      <c r="B16">
        <v>6.08</v>
      </c>
      <c r="C16">
        <f t="shared" si="0"/>
        <v>5.6</v>
      </c>
    </row>
    <row r="17" spans="1:3">
      <c r="A17">
        <v>1.5</v>
      </c>
      <c r="B17">
        <v>6.05</v>
      </c>
      <c r="C17">
        <f t="shared" si="0"/>
        <v>6</v>
      </c>
    </row>
    <row r="18" spans="1:3">
      <c r="A18">
        <v>1.6</v>
      </c>
      <c r="B18">
        <v>6.03</v>
      </c>
      <c r="C18">
        <f t="shared" si="0"/>
        <v>6.4</v>
      </c>
    </row>
    <row r="19" spans="1:3">
      <c r="A19">
        <v>1.7</v>
      </c>
      <c r="B19">
        <v>6</v>
      </c>
      <c r="C19">
        <f t="shared" si="0"/>
        <v>6.8</v>
      </c>
    </row>
    <row r="20" spans="1:3">
      <c r="A20">
        <v>1.8</v>
      </c>
      <c r="B20">
        <v>5.96</v>
      </c>
      <c r="C20">
        <f t="shared" si="0"/>
        <v>7.2</v>
      </c>
    </row>
    <row r="21" spans="1:3">
      <c r="A21">
        <v>1.9</v>
      </c>
      <c r="B21">
        <v>5.89</v>
      </c>
      <c r="C21">
        <f t="shared" si="0"/>
        <v>7.6</v>
      </c>
    </row>
    <row r="22" spans="1:3">
      <c r="A22">
        <v>2</v>
      </c>
      <c r="B22">
        <v>5.83</v>
      </c>
      <c r="C22">
        <f t="shared" si="0"/>
        <v>8</v>
      </c>
    </row>
    <row r="23" spans="1:3">
      <c r="A23">
        <v>2.1</v>
      </c>
      <c r="B23">
        <v>5.76</v>
      </c>
      <c r="C23">
        <f t="shared" si="0"/>
        <v>8.4</v>
      </c>
    </row>
    <row r="24" spans="1:3">
      <c r="A24">
        <v>2.2000000000000002</v>
      </c>
      <c r="B24">
        <v>5.71</v>
      </c>
      <c r="C24">
        <f t="shared" si="0"/>
        <v>8.8000000000000007</v>
      </c>
    </row>
    <row r="25" spans="1:3">
      <c r="A25">
        <v>2.2999999999999998</v>
      </c>
      <c r="B25">
        <v>5.66</v>
      </c>
      <c r="C25">
        <f t="shared" si="0"/>
        <v>9.1999999999999993</v>
      </c>
    </row>
    <row r="26" spans="1:3">
      <c r="A26">
        <v>2.4</v>
      </c>
      <c r="B26">
        <v>5.61</v>
      </c>
      <c r="C26">
        <f t="shared" si="0"/>
        <v>9.6</v>
      </c>
    </row>
    <row r="27" spans="1:3">
      <c r="A27">
        <v>2.5</v>
      </c>
      <c r="B27">
        <v>5.57</v>
      </c>
      <c r="C27">
        <f t="shared" si="0"/>
        <v>10</v>
      </c>
    </row>
    <row r="28" spans="1:3">
      <c r="A28">
        <v>2.6</v>
      </c>
      <c r="B28">
        <v>5.48</v>
      </c>
      <c r="C28">
        <f t="shared" si="0"/>
        <v>10.4</v>
      </c>
    </row>
    <row r="29" spans="1:3">
      <c r="A29">
        <v>2.7</v>
      </c>
      <c r="B29">
        <v>5.43</v>
      </c>
      <c r="C29">
        <f t="shared" si="0"/>
        <v>10.8</v>
      </c>
    </row>
    <row r="30" spans="1:3">
      <c r="A30">
        <v>2.8</v>
      </c>
      <c r="B30">
        <v>5.37</v>
      </c>
      <c r="C30">
        <f t="shared" si="0"/>
        <v>11.2</v>
      </c>
    </row>
    <row r="31" spans="1:3">
      <c r="A31">
        <v>2.9</v>
      </c>
      <c r="B31">
        <v>5.26</v>
      </c>
      <c r="C31">
        <f t="shared" si="0"/>
        <v>11.6</v>
      </c>
    </row>
    <row r="32" spans="1:3">
      <c r="A32">
        <v>3</v>
      </c>
      <c r="B32">
        <v>5.21</v>
      </c>
      <c r="C32">
        <f t="shared" si="0"/>
        <v>12</v>
      </c>
    </row>
    <row r="33" spans="1:3">
      <c r="A33">
        <v>3.1</v>
      </c>
      <c r="B33">
        <v>5.18</v>
      </c>
      <c r="C33">
        <f t="shared" si="0"/>
        <v>12.4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DB95-7C25-458F-8AE2-E9171BF4FD00}">
  <dimension ref="A1:D27"/>
  <sheetViews>
    <sheetView workbookViewId="0">
      <selection activeCell="C30" sqref="C30"/>
    </sheetView>
  </sheetViews>
  <sheetFormatPr defaultRowHeight="14.45"/>
  <cols>
    <col min="1" max="1" width="10.28515625" bestFit="1" customWidth="1"/>
    <col min="3" max="3" width="20.5703125" bestFit="1" customWidth="1"/>
    <col min="4" max="4" width="11.42578125" bestFit="1" customWidth="1"/>
  </cols>
  <sheetData>
    <row r="1" spans="1:4">
      <c r="A1" t="s">
        <v>0</v>
      </c>
      <c r="B1" t="s">
        <v>1</v>
      </c>
      <c r="C1" t="s">
        <v>17</v>
      </c>
      <c r="D1" s="1" t="s">
        <v>18</v>
      </c>
    </row>
    <row r="2" spans="1:4">
      <c r="A2">
        <v>0</v>
      </c>
      <c r="B2">
        <v>6.56</v>
      </c>
      <c r="C2">
        <f>(A2*10^-3) /$D$2</f>
        <v>0</v>
      </c>
      <c r="D2" s="7">
        <f>250*10^-6</f>
        <v>2.5000000000000001E-4</v>
      </c>
    </row>
    <row r="3" spans="1:4">
      <c r="A3">
        <v>0.1</v>
      </c>
      <c r="B3">
        <v>6.43</v>
      </c>
      <c r="C3">
        <f t="shared" ref="C3:C27" si="0">(A3*10^-3) /$D$2</f>
        <v>0.4</v>
      </c>
    </row>
    <row r="4" spans="1:4">
      <c r="A4">
        <v>0.2</v>
      </c>
      <c r="B4">
        <v>6.32</v>
      </c>
      <c r="C4">
        <f t="shared" si="0"/>
        <v>0.8</v>
      </c>
    </row>
    <row r="5" spans="1:4">
      <c r="A5">
        <v>0.3</v>
      </c>
      <c r="B5">
        <v>6.24</v>
      </c>
      <c r="C5">
        <f t="shared" si="0"/>
        <v>1.2</v>
      </c>
    </row>
    <row r="6" spans="1:4">
      <c r="A6">
        <v>0.4</v>
      </c>
      <c r="B6">
        <v>6.16</v>
      </c>
      <c r="C6">
        <f t="shared" si="0"/>
        <v>1.6</v>
      </c>
    </row>
    <row r="7" spans="1:4">
      <c r="A7">
        <v>0.5</v>
      </c>
      <c r="B7">
        <v>6.09</v>
      </c>
      <c r="C7">
        <f t="shared" si="0"/>
        <v>2</v>
      </c>
    </row>
    <row r="8" spans="1:4">
      <c r="A8">
        <v>0.6</v>
      </c>
      <c r="B8">
        <v>6.03</v>
      </c>
      <c r="C8">
        <f t="shared" si="0"/>
        <v>2.4</v>
      </c>
    </row>
    <row r="9" spans="1:4">
      <c r="A9">
        <v>0.7</v>
      </c>
      <c r="B9">
        <v>5.99</v>
      </c>
      <c r="C9">
        <f t="shared" si="0"/>
        <v>2.8</v>
      </c>
    </row>
    <row r="10" spans="1:4">
      <c r="A10">
        <v>0.8</v>
      </c>
      <c r="B10">
        <v>5.93</v>
      </c>
      <c r="C10">
        <f t="shared" si="0"/>
        <v>3.2</v>
      </c>
    </row>
    <row r="11" spans="1:4">
      <c r="A11">
        <v>0.9</v>
      </c>
      <c r="B11">
        <v>5.89</v>
      </c>
      <c r="C11">
        <f t="shared" si="0"/>
        <v>3.6</v>
      </c>
    </row>
    <row r="12" spans="1:4">
      <c r="A12">
        <v>1</v>
      </c>
      <c r="B12" s="5">
        <v>5.85</v>
      </c>
      <c r="C12" s="5">
        <f>(A12*10^-3) /$D$2</f>
        <v>4</v>
      </c>
    </row>
    <row r="13" spans="1:4">
      <c r="A13">
        <v>1.1000000000000001</v>
      </c>
      <c r="B13">
        <v>5.8</v>
      </c>
      <c r="C13">
        <f t="shared" si="0"/>
        <v>4.4000000000000004</v>
      </c>
    </row>
    <row r="14" spans="1:4">
      <c r="A14">
        <v>1.2</v>
      </c>
      <c r="B14">
        <v>5.74</v>
      </c>
      <c r="C14">
        <f t="shared" si="0"/>
        <v>4.8</v>
      </c>
    </row>
    <row r="15" spans="1:4">
      <c r="A15">
        <v>1.3</v>
      </c>
      <c r="B15">
        <v>5.71</v>
      </c>
      <c r="C15">
        <f t="shared" si="0"/>
        <v>5.2</v>
      </c>
    </row>
    <row r="16" spans="1:4">
      <c r="A16">
        <v>1.4</v>
      </c>
      <c r="B16">
        <v>5.67</v>
      </c>
      <c r="C16">
        <f t="shared" si="0"/>
        <v>5.6</v>
      </c>
    </row>
    <row r="17" spans="1:3">
      <c r="A17">
        <v>1.5</v>
      </c>
      <c r="B17">
        <v>5.61</v>
      </c>
      <c r="C17">
        <f t="shared" si="0"/>
        <v>6</v>
      </c>
    </row>
    <row r="18" spans="1:3">
      <c r="A18">
        <v>1.6</v>
      </c>
      <c r="B18">
        <v>5.56</v>
      </c>
      <c r="C18">
        <f t="shared" si="0"/>
        <v>6.4</v>
      </c>
    </row>
    <row r="19" spans="1:3">
      <c r="A19">
        <v>1.7</v>
      </c>
      <c r="B19" s="8">
        <v>5.5</v>
      </c>
      <c r="C19">
        <f t="shared" si="0"/>
        <v>6.8</v>
      </c>
    </row>
    <row r="20" spans="1:3">
      <c r="A20">
        <v>1.8</v>
      </c>
      <c r="B20">
        <v>5.46</v>
      </c>
      <c r="C20">
        <f t="shared" si="0"/>
        <v>7.2</v>
      </c>
    </row>
    <row r="21" spans="1:3">
      <c r="A21">
        <v>1.9</v>
      </c>
      <c r="B21">
        <v>5.42</v>
      </c>
      <c r="C21">
        <f t="shared" si="0"/>
        <v>7.6</v>
      </c>
    </row>
    <row r="22" spans="1:3">
      <c r="A22">
        <v>2</v>
      </c>
      <c r="B22">
        <v>5.38</v>
      </c>
      <c r="C22">
        <f t="shared" si="0"/>
        <v>8</v>
      </c>
    </row>
    <row r="23" spans="1:3">
      <c r="A23">
        <v>2.1</v>
      </c>
      <c r="B23">
        <v>5.35</v>
      </c>
      <c r="C23">
        <f t="shared" si="0"/>
        <v>8.4</v>
      </c>
    </row>
    <row r="24" spans="1:3">
      <c r="A24">
        <v>2.2000000000000002</v>
      </c>
      <c r="B24">
        <v>5.32</v>
      </c>
      <c r="C24">
        <f t="shared" si="0"/>
        <v>8.8000000000000007</v>
      </c>
    </row>
    <row r="25" spans="1:3">
      <c r="A25">
        <v>2.2999999999999998</v>
      </c>
      <c r="B25">
        <v>5.29</v>
      </c>
      <c r="C25">
        <f t="shared" si="0"/>
        <v>9.1999999999999993</v>
      </c>
    </row>
    <row r="26" spans="1:3">
      <c r="A26">
        <v>2.4</v>
      </c>
      <c r="B26">
        <v>5.26</v>
      </c>
      <c r="C26">
        <f t="shared" si="0"/>
        <v>9.6</v>
      </c>
    </row>
    <row r="27" spans="1:3">
      <c r="A27">
        <v>2.5</v>
      </c>
      <c r="B27">
        <v>5.23</v>
      </c>
      <c r="C27">
        <f t="shared" si="0"/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8614-EAB9-4498-A816-1728F07F689B}">
  <dimension ref="A1:H28"/>
  <sheetViews>
    <sheetView topLeftCell="A12" workbookViewId="0">
      <selection activeCell="B29" sqref="B29"/>
    </sheetView>
  </sheetViews>
  <sheetFormatPr defaultRowHeight="14.45"/>
  <sheetData>
    <row r="1" spans="1:8">
      <c r="A1" t="s">
        <v>19</v>
      </c>
      <c r="B1" t="s">
        <v>1</v>
      </c>
      <c r="C1" t="s">
        <v>20</v>
      </c>
      <c r="D1" t="s">
        <v>19</v>
      </c>
      <c r="E1" t="s">
        <v>1</v>
      </c>
      <c r="G1" t="s">
        <v>19</v>
      </c>
      <c r="H1" t="s">
        <v>1</v>
      </c>
    </row>
    <row r="2" spans="1:8">
      <c r="A2">
        <v>0</v>
      </c>
      <c r="B2">
        <v>6.82</v>
      </c>
      <c r="C2" t="s">
        <v>21</v>
      </c>
      <c r="D2">
        <v>0</v>
      </c>
      <c r="G2">
        <v>0</v>
      </c>
    </row>
    <row r="3" spans="1:8">
      <c r="A3">
        <v>0.1</v>
      </c>
      <c r="B3">
        <v>6.64</v>
      </c>
      <c r="C3" t="s">
        <v>21</v>
      </c>
      <c r="D3">
        <v>0.1</v>
      </c>
      <c r="G3">
        <v>0.1</v>
      </c>
    </row>
    <row r="4" spans="1:8">
      <c r="A4">
        <v>0.2</v>
      </c>
      <c r="B4">
        <v>6.53</v>
      </c>
      <c r="C4" t="s">
        <v>21</v>
      </c>
      <c r="D4">
        <v>0.2</v>
      </c>
      <c r="G4">
        <v>0.2</v>
      </c>
    </row>
    <row r="5" spans="1:8">
      <c r="A5">
        <v>0.3</v>
      </c>
      <c r="B5">
        <v>6.46</v>
      </c>
      <c r="C5" t="s">
        <v>21</v>
      </c>
      <c r="D5">
        <v>0.3</v>
      </c>
      <c r="G5">
        <v>0.3</v>
      </c>
    </row>
    <row r="6" spans="1:8">
      <c r="A6">
        <v>0.4</v>
      </c>
      <c r="B6">
        <v>6.36</v>
      </c>
      <c r="C6" t="s">
        <v>21</v>
      </c>
      <c r="D6">
        <v>0.4</v>
      </c>
      <c r="G6">
        <v>0.4</v>
      </c>
    </row>
    <row r="7" spans="1:8">
      <c r="A7">
        <v>0.5</v>
      </c>
      <c r="B7">
        <v>6.35</v>
      </c>
      <c r="C7" t="s">
        <v>21</v>
      </c>
      <c r="D7">
        <v>0.5</v>
      </c>
      <c r="G7">
        <v>0.5</v>
      </c>
    </row>
    <row r="8" spans="1:8">
      <c r="A8">
        <v>0.6</v>
      </c>
      <c r="B8">
        <v>6.32</v>
      </c>
      <c r="C8" t="s">
        <v>21</v>
      </c>
      <c r="D8">
        <v>0.6</v>
      </c>
      <c r="G8">
        <v>0.6</v>
      </c>
    </row>
    <row r="9" spans="1:8">
      <c r="A9">
        <v>0.7</v>
      </c>
      <c r="B9">
        <v>6.25</v>
      </c>
      <c r="C9" t="s">
        <v>21</v>
      </c>
      <c r="D9">
        <v>0.7</v>
      </c>
      <c r="G9">
        <v>0.7</v>
      </c>
    </row>
    <row r="10" spans="1:8">
      <c r="A10">
        <v>0.8</v>
      </c>
      <c r="B10">
        <v>6.22</v>
      </c>
      <c r="C10" t="s">
        <v>21</v>
      </c>
      <c r="D10">
        <v>0.8</v>
      </c>
      <c r="G10">
        <v>0.8</v>
      </c>
    </row>
    <row r="11" spans="1:8">
      <c r="A11">
        <v>0.9</v>
      </c>
      <c r="B11">
        <v>6.2</v>
      </c>
      <c r="C11" t="s">
        <v>21</v>
      </c>
      <c r="D11">
        <v>0.9</v>
      </c>
      <c r="G11">
        <v>0.9</v>
      </c>
    </row>
    <row r="12" spans="1:8">
      <c r="A12">
        <v>1</v>
      </c>
      <c r="B12">
        <v>6.1</v>
      </c>
      <c r="C12" t="s">
        <v>21</v>
      </c>
      <c r="D12">
        <v>1</v>
      </c>
      <c r="G12">
        <v>1</v>
      </c>
    </row>
    <row r="13" spans="1:8">
      <c r="A13">
        <v>1.1000000000000001</v>
      </c>
      <c r="B13">
        <v>6.1</v>
      </c>
      <c r="C13" t="s">
        <v>22</v>
      </c>
    </row>
    <row r="14" spans="1:8">
      <c r="A14">
        <v>1.2</v>
      </c>
      <c r="B14">
        <v>6.08</v>
      </c>
      <c r="C14" t="s">
        <v>22</v>
      </c>
    </row>
    <row r="15" spans="1:8">
      <c r="A15">
        <v>1.3</v>
      </c>
      <c r="B15">
        <v>6.03</v>
      </c>
      <c r="C15" t="s">
        <v>22</v>
      </c>
    </row>
    <row r="16" spans="1:8">
      <c r="A16">
        <v>1.4</v>
      </c>
      <c r="B16">
        <v>5.95</v>
      </c>
      <c r="C16" t="s">
        <v>22</v>
      </c>
    </row>
    <row r="17" spans="1:3">
      <c r="A17">
        <v>1.5</v>
      </c>
      <c r="B17">
        <v>5.96</v>
      </c>
      <c r="C17" t="s">
        <v>22</v>
      </c>
    </row>
    <row r="18" spans="1:3">
      <c r="A18">
        <v>1.6</v>
      </c>
      <c r="B18">
        <v>5.96</v>
      </c>
      <c r="C18" t="s">
        <v>22</v>
      </c>
    </row>
    <row r="19" spans="1:3">
      <c r="A19">
        <v>1.7</v>
      </c>
      <c r="B19">
        <v>5.81</v>
      </c>
      <c r="C19" t="s">
        <v>22</v>
      </c>
    </row>
    <row r="20" spans="1:3">
      <c r="A20">
        <v>1.8</v>
      </c>
      <c r="B20">
        <v>5.8</v>
      </c>
      <c r="C20" t="s">
        <v>22</v>
      </c>
    </row>
    <row r="21" spans="1:3">
      <c r="A21">
        <v>1.9</v>
      </c>
      <c r="B21">
        <v>5.73</v>
      </c>
      <c r="C21" t="s">
        <v>22</v>
      </c>
    </row>
    <row r="22" spans="1:3">
      <c r="A22">
        <v>2</v>
      </c>
      <c r="B22">
        <v>5.62</v>
      </c>
      <c r="C22" t="s">
        <v>22</v>
      </c>
    </row>
    <row r="23" spans="1:3">
      <c r="A23">
        <v>2.1</v>
      </c>
      <c r="B23">
        <v>5.52</v>
      </c>
      <c r="C23" t="s">
        <v>21</v>
      </c>
    </row>
    <row r="24" spans="1:3">
      <c r="A24">
        <v>2.2000000000000002</v>
      </c>
      <c r="B24">
        <v>5.4</v>
      </c>
      <c r="C24" t="s">
        <v>22</v>
      </c>
    </row>
    <row r="25" spans="1:3">
      <c r="A25">
        <v>2.2999999999999998</v>
      </c>
      <c r="B25">
        <v>5.25</v>
      </c>
      <c r="C25" t="s">
        <v>21</v>
      </c>
    </row>
    <row r="26" spans="1:3">
      <c r="A26">
        <v>2.4</v>
      </c>
      <c r="B26">
        <v>5.16</v>
      </c>
      <c r="C26" t="s">
        <v>22</v>
      </c>
    </row>
    <row r="27" spans="1:3">
      <c r="A27">
        <v>2.5</v>
      </c>
      <c r="B27">
        <v>5.09</v>
      </c>
      <c r="C27" t="s">
        <v>22</v>
      </c>
    </row>
    <row r="28" spans="1:3">
      <c r="A28">
        <v>2.6</v>
      </c>
      <c r="B28">
        <v>4.91</v>
      </c>
      <c r="C28" t="s">
        <v>21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DFB0-9AEF-4296-A7F4-F500A8A2B8F3}">
  <dimension ref="A1:H18"/>
  <sheetViews>
    <sheetView workbookViewId="0">
      <selection activeCell="B19" sqref="B19"/>
    </sheetView>
  </sheetViews>
  <sheetFormatPr defaultRowHeight="14.45"/>
  <sheetData>
    <row r="1" spans="1:8">
      <c r="A1" t="s">
        <v>19</v>
      </c>
      <c r="B1" t="s">
        <v>1</v>
      </c>
      <c r="C1" t="s">
        <v>23</v>
      </c>
      <c r="D1" t="s">
        <v>19</v>
      </c>
      <c r="E1" t="s">
        <v>1</v>
      </c>
      <c r="G1" t="s">
        <v>19</v>
      </c>
      <c r="H1" t="s">
        <v>1</v>
      </c>
    </row>
    <row r="2" spans="1:8">
      <c r="A2">
        <v>0</v>
      </c>
      <c r="B2">
        <v>6.56</v>
      </c>
      <c r="D2">
        <v>0</v>
      </c>
      <c r="G2">
        <v>0</v>
      </c>
    </row>
    <row r="3" spans="1:8">
      <c r="A3">
        <v>0.1</v>
      </c>
      <c r="B3">
        <v>6.3</v>
      </c>
      <c r="C3" t="s">
        <v>21</v>
      </c>
      <c r="D3">
        <v>0.1</v>
      </c>
      <c r="G3">
        <v>0.1</v>
      </c>
    </row>
    <row r="4" spans="1:8">
      <c r="A4">
        <v>0.2</v>
      </c>
      <c r="B4">
        <v>6.1</v>
      </c>
      <c r="C4" t="s">
        <v>21</v>
      </c>
      <c r="D4">
        <v>0.2</v>
      </c>
      <c r="G4">
        <v>0.2</v>
      </c>
    </row>
    <row r="5" spans="1:8">
      <c r="A5">
        <v>0.3</v>
      </c>
      <c r="B5">
        <v>5.94</v>
      </c>
      <c r="C5" t="s">
        <v>21</v>
      </c>
      <c r="D5">
        <v>0.3</v>
      </c>
      <c r="G5">
        <v>0.3</v>
      </c>
    </row>
    <row r="6" spans="1:8">
      <c r="A6">
        <v>0.4</v>
      </c>
      <c r="B6">
        <v>5.81</v>
      </c>
      <c r="C6" t="s">
        <v>21</v>
      </c>
      <c r="D6">
        <v>0.4</v>
      </c>
      <c r="G6">
        <v>0.4</v>
      </c>
    </row>
    <row r="7" spans="1:8">
      <c r="A7">
        <v>0.5</v>
      </c>
      <c r="B7">
        <v>5.68</v>
      </c>
      <c r="C7" t="s">
        <v>21</v>
      </c>
      <c r="D7">
        <v>0.5</v>
      </c>
      <c r="G7">
        <v>0.5</v>
      </c>
    </row>
    <row r="8" spans="1:8">
      <c r="A8">
        <v>0.6</v>
      </c>
      <c r="B8">
        <v>5.55</v>
      </c>
      <c r="C8" t="s">
        <v>21</v>
      </c>
      <c r="D8">
        <v>0.6</v>
      </c>
      <c r="G8">
        <v>0.6</v>
      </c>
    </row>
    <row r="9" spans="1:8">
      <c r="A9">
        <v>0.7</v>
      </c>
      <c r="B9">
        <v>5.51</v>
      </c>
      <c r="C9" t="s">
        <v>22</v>
      </c>
      <c r="D9">
        <v>0.7</v>
      </c>
      <c r="G9">
        <v>0.7</v>
      </c>
    </row>
    <row r="10" spans="1:8">
      <c r="A10">
        <v>0.8</v>
      </c>
      <c r="B10">
        <v>5.47</v>
      </c>
      <c r="C10" t="s">
        <v>22</v>
      </c>
      <c r="D10">
        <v>0.8</v>
      </c>
      <c r="G10">
        <v>0.8</v>
      </c>
    </row>
    <row r="11" spans="1:8">
      <c r="A11">
        <v>0.9</v>
      </c>
      <c r="B11">
        <v>5.43</v>
      </c>
      <c r="C11" t="s">
        <v>22</v>
      </c>
      <c r="D11">
        <v>0.9</v>
      </c>
      <c r="G11">
        <v>0.9</v>
      </c>
    </row>
    <row r="12" spans="1:8">
      <c r="A12">
        <v>1</v>
      </c>
      <c r="B12">
        <v>5.39</v>
      </c>
      <c r="C12" t="s">
        <v>22</v>
      </c>
      <c r="D12">
        <v>1</v>
      </c>
      <c r="G12">
        <v>1</v>
      </c>
    </row>
    <row r="13" spans="1:8">
      <c r="A13">
        <v>1.1000000000000001</v>
      </c>
      <c r="B13">
        <v>5.36</v>
      </c>
      <c r="C13" t="s">
        <v>22</v>
      </c>
    </row>
    <row r="14" spans="1:8">
      <c r="A14">
        <v>1.2</v>
      </c>
      <c r="B14">
        <v>5.31</v>
      </c>
      <c r="C14" t="s">
        <v>22</v>
      </c>
    </row>
    <row r="15" spans="1:8">
      <c r="A15">
        <v>1.3</v>
      </c>
      <c r="B15">
        <v>5.25</v>
      </c>
      <c r="C15" t="s">
        <v>21</v>
      </c>
    </row>
    <row r="16" spans="1:8">
      <c r="A16">
        <v>1.4</v>
      </c>
      <c r="B16">
        <v>5.23</v>
      </c>
      <c r="C16" t="s">
        <v>22</v>
      </c>
    </row>
    <row r="17" spans="1:3">
      <c r="A17">
        <v>1.5</v>
      </c>
      <c r="B17">
        <v>5.17</v>
      </c>
      <c r="C17" t="s">
        <v>21</v>
      </c>
    </row>
    <row r="18" spans="1:3">
      <c r="A18">
        <v>1.6</v>
      </c>
      <c r="B18">
        <v>5.15</v>
      </c>
      <c r="C18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Mikael Løvig Larsen</dc:creator>
  <cp:keywords/>
  <dc:description/>
  <cp:lastModifiedBy>Benedetti Lorenzo (lorenzo.benedetti1)</cp:lastModifiedBy>
  <cp:revision/>
  <dcterms:created xsi:type="dcterms:W3CDTF">2025-10-02T06:51:53Z</dcterms:created>
  <dcterms:modified xsi:type="dcterms:W3CDTF">2025-10-20T12:24:07Z</dcterms:modified>
  <cp:category/>
  <cp:contentStatus/>
</cp:coreProperties>
</file>